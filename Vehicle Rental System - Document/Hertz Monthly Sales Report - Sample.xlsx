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023" sheetId="1" r:id="rId4"/>
  </sheets>
  <definedNames/>
  <calcPr/>
</workbook>
</file>

<file path=xl/sharedStrings.xml><?xml version="1.0" encoding="utf-8"?>
<sst xmlns="http://schemas.openxmlformats.org/spreadsheetml/2006/main" count="1007" uniqueCount="345">
  <si>
    <t>RESERVATION ID</t>
  </si>
  <si>
    <t>INVOICE NO.</t>
  </si>
  <si>
    <t>INVOICE DATE</t>
  </si>
  <si>
    <t>RA NO.</t>
  </si>
  <si>
    <t>VRN</t>
  </si>
  <si>
    <t>BOOKING LOCATION</t>
  </si>
  <si>
    <t>NAME</t>
  </si>
  <si>
    <t>TIME</t>
  </si>
  <si>
    <t>ARRIVAL</t>
  </si>
  <si>
    <t>DEPARTURE</t>
  </si>
  <si>
    <t>VEHICLE CLASS</t>
  </si>
  <si>
    <t>RATE PLAN</t>
  </si>
  <si>
    <t>DAILY RATE EXCL TAX</t>
  </si>
  <si>
    <t>DISCOUNT</t>
  </si>
  <si>
    <t>NO. OF DAYS</t>
  </si>
  <si>
    <t>SUB TOTAL</t>
  </si>
  <si>
    <t>FUEL</t>
  </si>
  <si>
    <t>NON VATABLE EXTRAS</t>
  </si>
  <si>
    <t xml:space="preserve">VATABLE EXTRAS </t>
  </si>
  <si>
    <t>SUBTOTAL</t>
  </si>
  <si>
    <t>TAX</t>
  </si>
  <si>
    <t>TOTAL INCL TAX</t>
  </si>
  <si>
    <t>REMARKS FOR EXTRAS</t>
  </si>
  <si>
    <t>NO. 1 CLUB</t>
  </si>
  <si>
    <t>CDP</t>
  </si>
  <si>
    <t>VOUCHER NO.</t>
  </si>
  <si>
    <t>ACCOUNT</t>
  </si>
  <si>
    <t>FREQUENT FLYER</t>
  </si>
  <si>
    <t>TACO</t>
  </si>
  <si>
    <t>COMMISSION</t>
  </si>
  <si>
    <t>ABS</t>
  </si>
  <si>
    <t>RES</t>
  </si>
  <si>
    <t>TACO COMM</t>
  </si>
  <si>
    <t>TACO BON</t>
  </si>
  <si>
    <t>TACO GSA</t>
  </si>
  <si>
    <t>AMADEUS</t>
  </si>
  <si>
    <t>EARNED MKT</t>
  </si>
  <si>
    <t>LUF</t>
  </si>
  <si>
    <t>ROYALTIES</t>
  </si>
  <si>
    <t>W/TAX</t>
  </si>
  <si>
    <t>SWAP</t>
  </si>
  <si>
    <t>EXCHANGE COMM</t>
  </si>
  <si>
    <t>TOTAL CHARGES</t>
  </si>
  <si>
    <t>NET INCOME</t>
  </si>
  <si>
    <t xml:space="preserve">NET INCOME PER DAY </t>
  </si>
  <si>
    <t>K2260847042</t>
  </si>
  <si>
    <t>21/01/2023</t>
  </si>
  <si>
    <t>KCJ 070M</t>
  </si>
  <si>
    <t>KENAI50</t>
  </si>
  <si>
    <t>2130 HRS</t>
  </si>
  <si>
    <t>2000 HRS</t>
  </si>
  <si>
    <t>F0</t>
  </si>
  <si>
    <t>AEX4MC</t>
  </si>
  <si>
    <t>WALK IN</t>
  </si>
  <si>
    <t>KCL 757D</t>
  </si>
  <si>
    <t>1000 HRS</t>
  </si>
  <si>
    <t>19/12/2022</t>
  </si>
  <si>
    <t>KES3KN</t>
  </si>
  <si>
    <t>K3062195763</t>
  </si>
  <si>
    <t>20/01/2023</t>
  </si>
  <si>
    <t>KCK 626V</t>
  </si>
  <si>
    <t>AIRPORT</t>
  </si>
  <si>
    <t>0800 HRS</t>
  </si>
  <si>
    <t>21/12/2022</t>
  </si>
  <si>
    <t>18/01/2023</t>
  </si>
  <si>
    <t>J0</t>
  </si>
  <si>
    <t>WOW3EU</t>
  </si>
  <si>
    <t>0000730238</t>
  </si>
  <si>
    <t>BSP RESERVATIONS</t>
  </si>
  <si>
    <t>K2872619099</t>
  </si>
  <si>
    <t>KCT 676W</t>
  </si>
  <si>
    <t>MOMBASA</t>
  </si>
  <si>
    <t>1330 HRS</t>
  </si>
  <si>
    <t>1400 HRS</t>
  </si>
  <si>
    <t>A0</t>
  </si>
  <si>
    <t>RUW2GL</t>
  </si>
  <si>
    <t>EK 106930725</t>
  </si>
  <si>
    <t>UAE GSA</t>
  </si>
  <si>
    <t>K2864613438</t>
  </si>
  <si>
    <t>KCU 151X</t>
  </si>
  <si>
    <t>23/12/2022</t>
  </si>
  <si>
    <t>1300 HRS</t>
  </si>
  <si>
    <t>K0</t>
  </si>
  <si>
    <t>AEX2MC</t>
  </si>
  <si>
    <t>HERTZ.COM DESKTOP</t>
  </si>
  <si>
    <t>K3053964864</t>
  </si>
  <si>
    <t>25/01/2023</t>
  </si>
  <si>
    <t>KCJ 080Y</t>
  </si>
  <si>
    <t>OFFICE</t>
  </si>
  <si>
    <t>23/12/2002</t>
  </si>
  <si>
    <t>1600 HRS</t>
  </si>
  <si>
    <t>k2794125706</t>
  </si>
  <si>
    <t>26/01/2023</t>
  </si>
  <si>
    <t>KCS 543X</t>
  </si>
  <si>
    <t>0900 HRS</t>
  </si>
  <si>
    <t>1900 HRS</t>
  </si>
  <si>
    <t>E0</t>
  </si>
  <si>
    <t>0000211762</t>
  </si>
  <si>
    <t>COMMISSION JUNCTION</t>
  </si>
  <si>
    <t>K26723969A9</t>
  </si>
  <si>
    <t>KCH 878Z</t>
  </si>
  <si>
    <t>2200 HRS</t>
  </si>
  <si>
    <t>24/12/2022</t>
  </si>
  <si>
    <t>EOW3EU</t>
  </si>
  <si>
    <t>NETHERLANDS (EUROPE) GSA</t>
  </si>
  <si>
    <t>K09206595A9</t>
  </si>
  <si>
    <t>KBX 090Y</t>
  </si>
  <si>
    <t>25/12/2022</t>
  </si>
  <si>
    <t>1700 HRS</t>
  </si>
  <si>
    <t>EOW2EU</t>
  </si>
  <si>
    <t>HERTZ EUROPE LTD PAID SEARCH</t>
  </si>
  <si>
    <t>K3303624075</t>
  </si>
  <si>
    <t>KCT 252X</t>
  </si>
  <si>
    <t>26/12/2022</t>
  </si>
  <si>
    <t>31/12/2022</t>
  </si>
  <si>
    <t>AEX1MC</t>
  </si>
  <si>
    <t>LOWESTFARE COM</t>
  </si>
  <si>
    <t>K00310721F2</t>
  </si>
  <si>
    <t>KCD 949X</t>
  </si>
  <si>
    <t>1030 HRS</t>
  </si>
  <si>
    <t>M0</t>
  </si>
  <si>
    <t>0000567704</t>
  </si>
  <si>
    <t>K34045781B1</t>
  </si>
  <si>
    <t>KCM 797H</t>
  </si>
  <si>
    <t>0330 HRS</t>
  </si>
  <si>
    <t>27/12/2023</t>
  </si>
  <si>
    <t>K3531926566</t>
  </si>
  <si>
    <t>KCK 696Q</t>
  </si>
  <si>
    <t>1100 HRS</t>
  </si>
  <si>
    <t>EOW1EU</t>
  </si>
  <si>
    <t>K3090624875</t>
  </si>
  <si>
    <t>KCV 212V</t>
  </si>
  <si>
    <t>1130 HRS</t>
  </si>
  <si>
    <t>27/12/2022</t>
  </si>
  <si>
    <t>1440 HRS</t>
  </si>
  <si>
    <t>D0</t>
  </si>
  <si>
    <t>EXPEDIA INC</t>
  </si>
  <si>
    <t>K0422300979</t>
  </si>
  <si>
    <t>KCU 939C</t>
  </si>
  <si>
    <t>0710 HRS</t>
  </si>
  <si>
    <t>WOW2EU</t>
  </si>
  <si>
    <t>0000633306</t>
  </si>
  <si>
    <t>FINLAND</t>
  </si>
  <si>
    <t>K3162505542</t>
  </si>
  <si>
    <t>KDG 206N</t>
  </si>
  <si>
    <t>1200 HRS</t>
  </si>
  <si>
    <t>28/12/2023</t>
  </si>
  <si>
    <t>K35447212A9</t>
  </si>
  <si>
    <t>KBV 626U</t>
  </si>
  <si>
    <t>K3431262787</t>
  </si>
  <si>
    <t>KCH 515S</t>
  </si>
  <si>
    <t>1630 HRS</t>
  </si>
  <si>
    <t>K3081009116</t>
  </si>
  <si>
    <t>KCX 545N</t>
  </si>
  <si>
    <t>29/12/2023</t>
  </si>
  <si>
    <t>0001392782</t>
  </si>
  <si>
    <t>K3330774690</t>
  </si>
  <si>
    <t>KCK 303Z</t>
  </si>
  <si>
    <t>1730 HRS</t>
  </si>
  <si>
    <t>G0</t>
  </si>
  <si>
    <t>K3331145401</t>
  </si>
  <si>
    <t>31/01/2023</t>
  </si>
  <si>
    <t>KCK 811A</t>
  </si>
  <si>
    <t>29/12/2022</t>
  </si>
  <si>
    <t>K3550835970</t>
  </si>
  <si>
    <t>KCG 626Z</t>
  </si>
  <si>
    <t>30/12/2022</t>
  </si>
  <si>
    <t>RUW1GL</t>
  </si>
  <si>
    <t>MOBILITY ONLINE TURISMO LTDA</t>
  </si>
  <si>
    <t>K3173442856</t>
  </si>
  <si>
    <t>KCU 161X</t>
  </si>
  <si>
    <t>SWEDEN</t>
  </si>
  <si>
    <t>KCJ 940L</t>
  </si>
  <si>
    <t>KES1KN</t>
  </si>
  <si>
    <t>K28637138A8</t>
  </si>
  <si>
    <t>KCG 969B</t>
  </si>
  <si>
    <t>1230 HRS</t>
  </si>
  <si>
    <t>K3554884401</t>
  </si>
  <si>
    <t>KCW 518K</t>
  </si>
  <si>
    <t>K3571706663</t>
  </si>
  <si>
    <t>KCU 605A</t>
  </si>
  <si>
    <t>16/01/2023</t>
  </si>
  <si>
    <t>AEX3MC</t>
  </si>
  <si>
    <t>K3540739945</t>
  </si>
  <si>
    <t>KCF 181P</t>
  </si>
  <si>
    <t>2300 HRS</t>
  </si>
  <si>
    <t>0001805452</t>
  </si>
  <si>
    <t>K3553448764</t>
  </si>
  <si>
    <t>KCK 141Y</t>
  </si>
  <si>
    <t>0000011356</t>
  </si>
  <si>
    <t>K3271173668</t>
  </si>
  <si>
    <t>KCB 990P</t>
  </si>
  <si>
    <t>2100 HRS</t>
  </si>
  <si>
    <t>1830 HRS</t>
  </si>
  <si>
    <t>0000165385</t>
  </si>
  <si>
    <t>DL 926575243</t>
  </si>
  <si>
    <t>K32017957B6</t>
  </si>
  <si>
    <t>1921HRS</t>
  </si>
  <si>
    <t>K35015708B4</t>
  </si>
  <si>
    <t>K36004956F5</t>
  </si>
  <si>
    <t>KCH 868X</t>
  </si>
  <si>
    <t>1930 HRS</t>
  </si>
  <si>
    <t>K3574096482</t>
  </si>
  <si>
    <t>0000807414</t>
  </si>
  <si>
    <t>261362609990</t>
  </si>
  <si>
    <t>VCK GOVERNMENT TRAVEL CLUSTER1</t>
  </si>
  <si>
    <t>K35904649A4</t>
  </si>
  <si>
    <t>KCU 494Y</t>
  </si>
  <si>
    <t>0700 HRS</t>
  </si>
  <si>
    <t>1735 HRS</t>
  </si>
  <si>
    <t>K3392673518</t>
  </si>
  <si>
    <t>KCM 953N</t>
  </si>
  <si>
    <t>0830 HRS</t>
  </si>
  <si>
    <t>KCJ 868V</t>
  </si>
  <si>
    <t>K3454929439</t>
  </si>
  <si>
    <t>KBY 677D</t>
  </si>
  <si>
    <t>1500 HRS</t>
  </si>
  <si>
    <t>K2963189189</t>
  </si>
  <si>
    <t>WOW1EU</t>
  </si>
  <si>
    <t>K3531256398</t>
  </si>
  <si>
    <t>KCM 662P</t>
  </si>
  <si>
    <t>0000260290</t>
  </si>
  <si>
    <t>K3452918282</t>
  </si>
  <si>
    <t>KCP 181J</t>
  </si>
  <si>
    <t>0930 HRS</t>
  </si>
  <si>
    <t>1350 HRS</t>
  </si>
  <si>
    <t>K3263619438</t>
  </si>
  <si>
    <t>0729 HRS</t>
  </si>
  <si>
    <t>15/01/2023</t>
  </si>
  <si>
    <t>K3622926144</t>
  </si>
  <si>
    <t>K3644478414</t>
  </si>
  <si>
    <t>KCX 949G</t>
  </si>
  <si>
    <t>058943</t>
  </si>
  <si>
    <t>K3411683476</t>
  </si>
  <si>
    <t>0630 HRS</t>
  </si>
  <si>
    <t>POLAND GSA</t>
  </si>
  <si>
    <t>K3661888482</t>
  </si>
  <si>
    <t>1530 HRS</t>
  </si>
  <si>
    <t>K36413821B7</t>
  </si>
  <si>
    <t>1430 HRS</t>
  </si>
  <si>
    <t>RUD1GL</t>
  </si>
  <si>
    <t>K3661587549</t>
  </si>
  <si>
    <t>13/01/2023</t>
  </si>
  <si>
    <t>K36431314E8</t>
  </si>
  <si>
    <t>KCK 595E</t>
  </si>
  <si>
    <t>TRAVEL SYNDICATION TECHNO</t>
  </si>
  <si>
    <t>K3532168707</t>
  </si>
  <si>
    <t>AMERICAN EXPRESS TVL SVC</t>
  </si>
  <si>
    <t>K3684257648</t>
  </si>
  <si>
    <t>KCX 614M</t>
  </si>
  <si>
    <t>SK 103197083</t>
  </si>
  <si>
    <t>K36227617B0</t>
  </si>
  <si>
    <t>KCW 484L</t>
  </si>
  <si>
    <t>2330 HRS</t>
  </si>
  <si>
    <t>30/01/2023</t>
  </si>
  <si>
    <t>CHEAPTICKETS</t>
  </si>
  <si>
    <t>K3621921777</t>
  </si>
  <si>
    <t>KBX 080Y</t>
  </si>
  <si>
    <t>2230 HRS</t>
  </si>
  <si>
    <t>K3474346906</t>
  </si>
  <si>
    <t>24/01/2023</t>
  </si>
  <si>
    <t>19/01/2023</t>
  </si>
  <si>
    <t>K3663120853</t>
  </si>
  <si>
    <t>KCP 171J</t>
  </si>
  <si>
    <t>17/01/2023</t>
  </si>
  <si>
    <t>1436 HRS</t>
  </si>
  <si>
    <t>K36606478C2</t>
  </si>
  <si>
    <t>K3613748658</t>
  </si>
  <si>
    <t>0100 HRS</t>
  </si>
  <si>
    <t>23/01/2023</t>
  </si>
  <si>
    <t>ORBITZ</t>
  </si>
  <si>
    <t>K3614086452</t>
  </si>
  <si>
    <t>KDG 534E</t>
  </si>
  <si>
    <t>0000796767</t>
  </si>
  <si>
    <t>056846</t>
  </si>
  <si>
    <t>AMERICAN EXPRESS TRAVEL</t>
  </si>
  <si>
    <t>K3481362627</t>
  </si>
  <si>
    <t>1820 HRS</t>
  </si>
  <si>
    <t>K2633252817</t>
  </si>
  <si>
    <t>KCK 949E</t>
  </si>
  <si>
    <t>0500 HRS</t>
  </si>
  <si>
    <t>G. STEWART TRAVEL</t>
  </si>
  <si>
    <t>K3784519199</t>
  </si>
  <si>
    <t>22/01/2023</t>
  </si>
  <si>
    <t>K3454762958</t>
  </si>
  <si>
    <t>KCT 606W</t>
  </si>
  <si>
    <t>27/01/2023</t>
  </si>
  <si>
    <t>K3234910848</t>
  </si>
  <si>
    <t>28/01/2023</t>
  </si>
  <si>
    <t>0000661779</t>
  </si>
  <si>
    <t>K37423940C4</t>
  </si>
  <si>
    <t>KCT 676K</t>
  </si>
  <si>
    <t>0730 HRS</t>
  </si>
  <si>
    <t>0600 HRS</t>
  </si>
  <si>
    <t>0000774217</t>
  </si>
  <si>
    <t>EGENCIA GMBH</t>
  </si>
  <si>
    <t>K3683485630</t>
  </si>
  <si>
    <t>1320 HRS</t>
  </si>
  <si>
    <t>K3804725238</t>
  </si>
  <si>
    <t>DL 9258856062</t>
  </si>
  <si>
    <t>k3623321413</t>
  </si>
  <si>
    <t>HOTWIRE</t>
  </si>
  <si>
    <t>K3573437217</t>
  </si>
  <si>
    <t>0001513209</t>
  </si>
  <si>
    <t>K38131953D4</t>
  </si>
  <si>
    <t>29/01/2023</t>
  </si>
  <si>
    <t>K3823926139</t>
  </si>
  <si>
    <t>K3864024281</t>
  </si>
  <si>
    <t>K3763093978</t>
  </si>
  <si>
    <t>KAYAK.COM</t>
  </si>
  <si>
    <t>K1971073449</t>
  </si>
  <si>
    <t>15/12/2022</t>
  </si>
  <si>
    <t>B0</t>
  </si>
  <si>
    <t>K2321298978</t>
  </si>
  <si>
    <t>K3124533997</t>
  </si>
  <si>
    <t>13/12/2022</t>
  </si>
  <si>
    <t>C0</t>
  </si>
  <si>
    <t>K3453323819</t>
  </si>
  <si>
    <t>20/12/2022</t>
  </si>
  <si>
    <t>K31722777E9</t>
  </si>
  <si>
    <t>16/12/2022</t>
  </si>
  <si>
    <t>K2690998080</t>
  </si>
  <si>
    <t>K1364541185</t>
  </si>
  <si>
    <t>K2412308675</t>
  </si>
  <si>
    <t>K2691986717</t>
  </si>
  <si>
    <t>17/12/2022</t>
  </si>
  <si>
    <t>K29748456D4</t>
  </si>
  <si>
    <t>K30817297E3</t>
  </si>
  <si>
    <t>K33712320C8</t>
  </si>
  <si>
    <t>K3452983297</t>
  </si>
  <si>
    <t>K3584450311</t>
  </si>
  <si>
    <t>K36705904F1</t>
  </si>
  <si>
    <t>K38343689F2</t>
  </si>
  <si>
    <t>K3533173101</t>
  </si>
  <si>
    <t>K3644374083</t>
  </si>
  <si>
    <t>K3812380952</t>
  </si>
  <si>
    <t>K3832160976</t>
  </si>
  <si>
    <t>K0770561137</t>
  </si>
  <si>
    <t>K33138453B6</t>
  </si>
  <si>
    <t>K3662046647</t>
  </si>
  <si>
    <t>K3681944883</t>
  </si>
  <si>
    <t>K37301731F3</t>
  </si>
  <si>
    <t>K3610005188</t>
  </si>
  <si>
    <t>K36022128D7</t>
  </si>
  <si>
    <t>K3360419276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</si>
</sst>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/&quot;mm&quot;/&quot;yy"/>
    <numFmt numFmtId="165" formatCode="D/M/YYYY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mm/dd/yyyy"/>
    <numFmt numFmtId="169" formatCode="d/m/yyyy"/>
    <numFmt numFmtId="170" formatCode="dd/mm/yyyy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sz val="11.0"/>
      <color theme="1"/>
      <name val="Calibri"/>
    </font>
    <font>
      <color rgb="FF000000"/>
      <name val="Calibri"/>
    </font>
    <font>
      <sz val="9.0"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right"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1" numFmtId="165" xfId="0" applyAlignment="1" applyFont="1" applyNumberFormat="1">
      <alignment horizontal="center" shrinkToFit="0" wrapText="1"/>
    </xf>
    <xf borderId="0" fillId="0" fontId="1" numFmtId="166" xfId="0" applyAlignment="1" applyFont="1" applyNumberFormat="1">
      <alignment horizontal="center" shrinkToFit="0" wrapText="1"/>
    </xf>
    <xf borderId="0" fillId="0" fontId="1" numFmtId="9" xfId="0" applyAlignment="1" applyFont="1" applyNumberForma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167" xfId="0" applyAlignment="1" applyFont="1" applyNumberForma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168" xfId="0" applyFont="1" applyNumberFormat="1"/>
    <xf borderId="0" fillId="0" fontId="2" numFmtId="4" xfId="0" applyFont="1" applyNumberFormat="1"/>
    <xf borderId="0" fillId="0" fontId="2" numFmtId="2" xfId="0" applyFont="1" applyNumberFormat="1"/>
    <xf borderId="0" fillId="2" fontId="2" numFmtId="0" xfId="0" applyFill="1" applyFont="1"/>
    <xf borderId="0" fillId="2" fontId="2" numFmtId="0" xfId="0" applyAlignment="1" applyFont="1">
      <alignment horizontal="right"/>
    </xf>
    <xf borderId="0" fillId="2" fontId="2" numFmtId="0" xfId="0" applyAlignment="1" applyFont="1">
      <alignment readingOrder="0"/>
    </xf>
    <xf borderId="0" fillId="2" fontId="2" numFmtId="168" xfId="0" applyFont="1" applyNumberFormat="1"/>
    <xf borderId="0" fillId="2" fontId="2" numFmtId="4" xfId="0" applyFont="1" applyNumberFormat="1"/>
    <xf borderId="0" fillId="2" fontId="2" numFmtId="2" xfId="0" applyFont="1" applyNumberFormat="1"/>
    <xf quotePrefix="1" borderId="0" fillId="2" fontId="2" numFmtId="0" xfId="0" applyFont="1"/>
    <xf borderId="0" fillId="2" fontId="3" numFmtId="0" xfId="0" applyAlignment="1" applyFont="1">
      <alignment horizontal="right" shrinkToFit="0" vertical="bottom" wrapText="0"/>
    </xf>
    <xf borderId="0" fillId="2" fontId="3" numFmtId="0" xfId="0" applyAlignment="1" applyFont="1">
      <alignment shrinkToFit="0" vertical="bottom" wrapText="0"/>
    </xf>
    <xf borderId="0" fillId="2" fontId="2" numFmtId="168" xfId="0" applyAlignment="1" applyFont="1" applyNumberFormat="1">
      <alignment horizontal="right"/>
    </xf>
    <xf borderId="0" fillId="2" fontId="4" numFmtId="0" xfId="0" applyFont="1"/>
    <xf borderId="0" fillId="0" fontId="2" numFmtId="168" xfId="0" applyAlignment="1" applyFont="1" applyNumberFormat="1">
      <alignment horizontal="right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quotePrefix="1" borderId="0" fillId="0" fontId="2" numFmtId="0" xfId="0" applyFont="1"/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169" xfId="0" applyAlignment="1" applyFont="1" applyNumberFormat="1">
      <alignment horizontal="right" vertical="bottom"/>
    </xf>
    <xf borderId="0" fillId="0" fontId="6" numFmtId="170" xfId="0" applyAlignment="1" applyFont="1" applyNumberFormat="1">
      <alignment horizontal="right" vertical="bottom"/>
    </xf>
    <xf borderId="0" fillId="0" fontId="6" numFmtId="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8" xfId="0" applyAlignment="1" applyFont="1" applyNumberFormat="1">
      <alignment horizontal="right" vertical="bottom"/>
    </xf>
    <xf borderId="0" fillId="2" fontId="7" numFmtId="0" xfId="0" applyAlignment="1" applyFont="1">
      <alignment horizontal="left"/>
    </xf>
    <xf borderId="0" fillId="2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ayak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  <col customWidth="1" min="7" max="7" width="18.5"/>
    <col customWidth="1" hidden="1" min="24" max="30" width="12.63"/>
    <col customWidth="1" hidden="1" min="31" max="31" width="16.0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7</v>
      </c>
      <c r="K1" s="3" t="s">
        <v>9</v>
      </c>
      <c r="L1" s="1" t="s">
        <v>10</v>
      </c>
      <c r="M1" s="1" t="s">
        <v>11</v>
      </c>
      <c r="N1" s="5" t="s">
        <v>12</v>
      </c>
      <c r="O1" s="6" t="s">
        <v>13</v>
      </c>
      <c r="P1" s="7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5" t="s">
        <v>19</v>
      </c>
      <c r="V1" s="5" t="s">
        <v>20</v>
      </c>
      <c r="W1" s="5" t="s">
        <v>21</v>
      </c>
      <c r="X1" s="8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27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ht="15.75" customHeight="1">
      <c r="A2" s="9" t="s">
        <v>45</v>
      </c>
      <c r="B2" s="9">
        <v>20357.0</v>
      </c>
      <c r="C2" s="10" t="s">
        <v>46</v>
      </c>
      <c r="D2" s="9">
        <v>1000579.0</v>
      </c>
      <c r="E2" s="9" t="s">
        <v>47</v>
      </c>
      <c r="F2" s="9" t="s">
        <v>48</v>
      </c>
      <c r="G2" s="11" t="s">
        <v>6</v>
      </c>
      <c r="H2" s="9" t="s">
        <v>49</v>
      </c>
      <c r="I2" s="12">
        <v>44604.0</v>
      </c>
      <c r="J2" s="9" t="s">
        <v>50</v>
      </c>
      <c r="K2" s="12">
        <v>45139.0</v>
      </c>
      <c r="L2" s="9" t="s">
        <v>51</v>
      </c>
      <c r="M2" s="9" t="s">
        <v>52</v>
      </c>
      <c r="N2" s="9">
        <v>85.0</v>
      </c>
      <c r="P2" s="9">
        <v>37.0</v>
      </c>
      <c r="Q2" s="13">
        <f t="shared" ref="Q2:Q7" si="1">N2*P2</f>
        <v>3145</v>
      </c>
      <c r="R2" s="13"/>
      <c r="S2" s="13"/>
      <c r="T2" s="13"/>
      <c r="U2" s="13">
        <f t="shared" ref="U2:U110" si="2">Q2+R2+S2+T2</f>
        <v>3145</v>
      </c>
      <c r="V2" s="13">
        <f t="shared" ref="V2:V76" si="3">(Q2*0.16)+(T2*0.16)+(R2*0.08)</f>
        <v>503.2</v>
      </c>
      <c r="W2" s="13">
        <f t="shared" ref="W2:W76" si="4">Q2+R2+S2+T2+V2</f>
        <v>3648.2</v>
      </c>
      <c r="AG2" s="9">
        <v>1.11</v>
      </c>
      <c r="AO2" s="14">
        <f>U2*0.06</f>
        <v>188.7</v>
      </c>
      <c r="AP2" s="14">
        <f t="shared" ref="AP2:AP75" si="5">(AO2*20)/80</f>
        <v>47.175</v>
      </c>
      <c r="AQ2" s="14"/>
      <c r="AS2" s="14">
        <f t="shared" ref="AS2:AS75" si="6">AF2+AG2+AH2+AI2+AJ2+AK2+AL2+AM2+AN2+AO2+AP2+AQ2+AR2</f>
        <v>236.985</v>
      </c>
      <c r="AT2" s="13">
        <f t="shared" ref="AT2:AT75" si="7">U2-AS2</f>
        <v>2908.015</v>
      </c>
      <c r="AU2" s="13">
        <f t="shared" ref="AU2:AU75" si="8">AT2/P2</f>
        <v>78.595</v>
      </c>
    </row>
    <row r="3" ht="15.75" customHeight="1">
      <c r="A3" s="15" t="s">
        <v>53</v>
      </c>
      <c r="B3" s="15">
        <v>20343.0</v>
      </c>
      <c r="C3" s="16" t="s">
        <v>46</v>
      </c>
      <c r="D3" s="15">
        <v>1000603.0</v>
      </c>
      <c r="E3" s="15" t="s">
        <v>54</v>
      </c>
      <c r="F3" s="15" t="s">
        <v>48</v>
      </c>
      <c r="G3" s="17" t="s">
        <v>6</v>
      </c>
      <c r="H3" s="15" t="s">
        <v>55</v>
      </c>
      <c r="I3" s="15" t="s">
        <v>56</v>
      </c>
      <c r="J3" s="15" t="s">
        <v>55</v>
      </c>
      <c r="K3" s="18">
        <v>44621.0</v>
      </c>
      <c r="L3" s="15" t="s">
        <v>51</v>
      </c>
      <c r="M3" s="15" t="s">
        <v>57</v>
      </c>
      <c r="N3" s="15">
        <v>142.5</v>
      </c>
      <c r="O3" s="15"/>
      <c r="P3" s="15">
        <v>15.0</v>
      </c>
      <c r="Q3" s="19">
        <f t="shared" si="1"/>
        <v>2137.5</v>
      </c>
      <c r="R3" s="19"/>
      <c r="S3" s="19"/>
      <c r="T3" s="19"/>
      <c r="U3" s="19">
        <f t="shared" si="2"/>
        <v>2137.5</v>
      </c>
      <c r="V3" s="19">
        <f t="shared" si="3"/>
        <v>342</v>
      </c>
      <c r="W3" s="19">
        <f t="shared" si="4"/>
        <v>2479.5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20"/>
      <c r="AP3" s="20">
        <f t="shared" si="5"/>
        <v>0</v>
      </c>
      <c r="AQ3" s="20"/>
      <c r="AR3" s="15"/>
      <c r="AS3" s="20">
        <f t="shared" si="6"/>
        <v>0</v>
      </c>
      <c r="AT3" s="19">
        <f t="shared" si="7"/>
        <v>2137.5</v>
      </c>
      <c r="AU3" s="19">
        <f t="shared" si="8"/>
        <v>142.5</v>
      </c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</row>
    <row r="4" ht="15.75" customHeight="1">
      <c r="A4" s="15" t="s">
        <v>58</v>
      </c>
      <c r="B4" s="15">
        <v>20328.0</v>
      </c>
      <c r="C4" s="16" t="s">
        <v>59</v>
      </c>
      <c r="D4" s="15">
        <v>1000609.0</v>
      </c>
      <c r="E4" s="15" t="s">
        <v>60</v>
      </c>
      <c r="F4" s="15" t="s">
        <v>61</v>
      </c>
      <c r="G4" s="17" t="s">
        <v>6</v>
      </c>
      <c r="H4" s="15" t="s">
        <v>62</v>
      </c>
      <c r="I4" s="15" t="s">
        <v>63</v>
      </c>
      <c r="J4" s="15" t="s">
        <v>62</v>
      </c>
      <c r="K4" s="15" t="s">
        <v>64</v>
      </c>
      <c r="L4" s="15" t="s">
        <v>65</v>
      </c>
      <c r="M4" s="15" t="s">
        <v>66</v>
      </c>
      <c r="N4" s="15">
        <v>104.5</v>
      </c>
      <c r="O4" s="15"/>
      <c r="P4" s="15">
        <v>28.0</v>
      </c>
      <c r="Q4" s="19">
        <f t="shared" si="1"/>
        <v>2926</v>
      </c>
      <c r="R4" s="19"/>
      <c r="S4" s="19"/>
      <c r="T4" s="19"/>
      <c r="U4" s="19">
        <f t="shared" si="2"/>
        <v>2926</v>
      </c>
      <c r="V4" s="19">
        <f t="shared" si="3"/>
        <v>468.16</v>
      </c>
      <c r="W4" s="19">
        <f t="shared" si="4"/>
        <v>3394.16</v>
      </c>
      <c r="X4" s="15"/>
      <c r="Y4" s="15"/>
      <c r="Z4" s="21" t="s">
        <v>67</v>
      </c>
      <c r="AA4" s="15">
        <v>177109.0</v>
      </c>
      <c r="AB4" s="15">
        <v>2.64309999995E11</v>
      </c>
      <c r="AC4" s="15"/>
      <c r="AD4" s="22">
        <v>85665.0</v>
      </c>
      <c r="AE4" s="23" t="s">
        <v>68</v>
      </c>
      <c r="AF4" s="15"/>
      <c r="AG4" s="15">
        <v>1.11</v>
      </c>
      <c r="AH4" s="15"/>
      <c r="AI4" s="15"/>
      <c r="AJ4" s="15"/>
      <c r="AK4" s="15"/>
      <c r="AL4" s="15"/>
      <c r="AM4" s="15"/>
      <c r="AN4" s="15"/>
      <c r="AO4" s="20">
        <f t="shared" ref="AO4:AO24" si="9">U4*0.06</f>
        <v>175.56</v>
      </c>
      <c r="AP4" s="20">
        <f t="shared" si="5"/>
        <v>43.89</v>
      </c>
      <c r="AQ4" s="20">
        <f>W4*0.04</f>
        <v>135.7664</v>
      </c>
      <c r="AR4" s="15">
        <v>532.68</v>
      </c>
      <c r="AS4" s="20">
        <f t="shared" si="6"/>
        <v>889.0064</v>
      </c>
      <c r="AT4" s="19">
        <f t="shared" si="7"/>
        <v>2036.9936</v>
      </c>
      <c r="AU4" s="19">
        <f t="shared" si="8"/>
        <v>72.74977143</v>
      </c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</row>
    <row r="5" ht="15.75" customHeight="1">
      <c r="A5" s="15" t="s">
        <v>69</v>
      </c>
      <c r="B5" s="15">
        <v>20350.0</v>
      </c>
      <c r="C5" s="24">
        <v>44958.0</v>
      </c>
      <c r="D5" s="15">
        <v>926.0</v>
      </c>
      <c r="E5" s="15" t="s">
        <v>70</v>
      </c>
      <c r="F5" s="15" t="s">
        <v>71</v>
      </c>
      <c r="G5" s="17" t="s">
        <v>6</v>
      </c>
      <c r="H5" s="15" t="s">
        <v>72</v>
      </c>
      <c r="I5" s="15" t="s">
        <v>63</v>
      </c>
      <c r="J5" s="15" t="s">
        <v>73</v>
      </c>
      <c r="K5" s="18">
        <v>45078.0</v>
      </c>
      <c r="L5" s="15" t="s">
        <v>74</v>
      </c>
      <c r="M5" s="15" t="s">
        <v>75</v>
      </c>
      <c r="N5" s="15">
        <v>50.35</v>
      </c>
      <c r="O5" s="15"/>
      <c r="P5" s="15">
        <v>17.0</v>
      </c>
      <c r="Q5" s="19">
        <f t="shared" si="1"/>
        <v>855.95</v>
      </c>
      <c r="R5" s="19"/>
      <c r="S5" s="19"/>
      <c r="T5" s="19"/>
      <c r="U5" s="19">
        <f t="shared" si="2"/>
        <v>855.95</v>
      </c>
      <c r="V5" s="19">
        <f t="shared" si="3"/>
        <v>136.952</v>
      </c>
      <c r="W5" s="19">
        <f t="shared" si="4"/>
        <v>992.902</v>
      </c>
      <c r="X5" s="15"/>
      <c r="Y5" s="15"/>
      <c r="Z5" s="15"/>
      <c r="AA5" s="15"/>
      <c r="AB5" s="15"/>
      <c r="AC5" s="15" t="s">
        <v>76</v>
      </c>
      <c r="AD5" s="22">
        <v>323293.0</v>
      </c>
      <c r="AE5" s="23" t="s">
        <v>77</v>
      </c>
      <c r="AF5" s="15"/>
      <c r="AG5" s="15">
        <v>1.11</v>
      </c>
      <c r="AH5" s="15">
        <v>59.92</v>
      </c>
      <c r="AI5" s="15"/>
      <c r="AJ5" s="15"/>
      <c r="AK5" s="15">
        <v>42.8</v>
      </c>
      <c r="AL5" s="15"/>
      <c r="AM5" s="15"/>
      <c r="AN5" s="15"/>
      <c r="AO5" s="20">
        <f t="shared" si="9"/>
        <v>51.357</v>
      </c>
      <c r="AP5" s="20">
        <f t="shared" si="5"/>
        <v>12.83925</v>
      </c>
      <c r="AQ5" s="20"/>
      <c r="AR5" s="15"/>
      <c r="AS5" s="20">
        <f t="shared" si="6"/>
        <v>168.02625</v>
      </c>
      <c r="AT5" s="19">
        <f t="shared" si="7"/>
        <v>687.92375</v>
      </c>
      <c r="AU5" s="19">
        <f t="shared" si="8"/>
        <v>40.46610294</v>
      </c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</row>
    <row r="6" ht="15.75" customHeight="1">
      <c r="A6" s="15" t="s">
        <v>78</v>
      </c>
      <c r="B6" s="15">
        <v>20353.0</v>
      </c>
      <c r="C6" s="16" t="s">
        <v>46</v>
      </c>
      <c r="D6" s="15">
        <v>2865.0</v>
      </c>
      <c r="E6" s="15" t="s">
        <v>79</v>
      </c>
      <c r="F6" s="15" t="s">
        <v>61</v>
      </c>
      <c r="G6" s="17" t="s">
        <v>6</v>
      </c>
      <c r="H6" s="15" t="s">
        <v>62</v>
      </c>
      <c r="I6" s="15" t="s">
        <v>80</v>
      </c>
      <c r="J6" s="15" t="s">
        <v>81</v>
      </c>
      <c r="K6" s="18">
        <v>45047.0</v>
      </c>
      <c r="L6" s="15" t="s">
        <v>82</v>
      </c>
      <c r="M6" s="15" t="s">
        <v>83</v>
      </c>
      <c r="N6" s="15">
        <v>152.1</v>
      </c>
      <c r="O6" s="15"/>
      <c r="P6" s="15">
        <v>14.0</v>
      </c>
      <c r="Q6" s="19">
        <f t="shared" si="1"/>
        <v>2129.4</v>
      </c>
      <c r="R6" s="19"/>
      <c r="S6" s="19">
        <v>1.04</v>
      </c>
      <c r="T6" s="19"/>
      <c r="U6" s="19">
        <f t="shared" si="2"/>
        <v>2130.44</v>
      </c>
      <c r="V6" s="19">
        <f t="shared" si="3"/>
        <v>340.704</v>
      </c>
      <c r="W6" s="19">
        <f t="shared" si="4"/>
        <v>2471.144</v>
      </c>
      <c r="X6" s="15"/>
      <c r="Y6" s="15"/>
      <c r="Z6" s="15"/>
      <c r="AA6" s="15"/>
      <c r="AB6" s="15"/>
      <c r="AC6" s="15"/>
      <c r="AD6" s="22">
        <v>317170.0</v>
      </c>
      <c r="AE6" s="23" t="s">
        <v>84</v>
      </c>
      <c r="AF6" s="15"/>
      <c r="AG6" s="15">
        <v>1.11</v>
      </c>
      <c r="AH6" s="15"/>
      <c r="AI6" s="15"/>
      <c r="AJ6" s="15"/>
      <c r="AK6" s="15"/>
      <c r="AL6" s="15"/>
      <c r="AM6" s="15"/>
      <c r="AN6" s="15"/>
      <c r="AO6" s="20">
        <f t="shared" si="9"/>
        <v>127.8264</v>
      </c>
      <c r="AP6" s="20">
        <f t="shared" si="5"/>
        <v>31.9566</v>
      </c>
      <c r="AQ6" s="20"/>
      <c r="AR6" s="15"/>
      <c r="AS6" s="20">
        <f t="shared" si="6"/>
        <v>160.893</v>
      </c>
      <c r="AT6" s="19">
        <f t="shared" si="7"/>
        <v>1969.547</v>
      </c>
      <c r="AU6" s="19">
        <f t="shared" si="8"/>
        <v>140.6819286</v>
      </c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</row>
    <row r="7" ht="15.75" customHeight="1">
      <c r="A7" s="15" t="s">
        <v>85</v>
      </c>
      <c r="B7" s="15">
        <v>20374.0</v>
      </c>
      <c r="C7" s="16" t="s">
        <v>86</v>
      </c>
      <c r="D7" s="15">
        <v>2870.0</v>
      </c>
      <c r="E7" s="15" t="s">
        <v>87</v>
      </c>
      <c r="F7" s="15" t="s">
        <v>88</v>
      </c>
      <c r="G7" s="17" t="s">
        <v>6</v>
      </c>
      <c r="H7" s="15" t="s">
        <v>55</v>
      </c>
      <c r="I7" s="15" t="s">
        <v>89</v>
      </c>
      <c r="J7" s="15" t="s">
        <v>90</v>
      </c>
      <c r="K7" s="18">
        <v>45108.0</v>
      </c>
      <c r="L7" s="15" t="s">
        <v>51</v>
      </c>
      <c r="M7" s="15" t="s">
        <v>83</v>
      </c>
      <c r="N7" s="15">
        <v>146.25</v>
      </c>
      <c r="O7" s="15"/>
      <c r="P7" s="15">
        <v>11.0</v>
      </c>
      <c r="Q7" s="19">
        <f t="shared" si="1"/>
        <v>1608.75</v>
      </c>
      <c r="R7" s="19"/>
      <c r="S7" s="19">
        <v>16.96</v>
      </c>
      <c r="T7" s="19">
        <v>731.25</v>
      </c>
      <c r="U7" s="19">
        <f t="shared" si="2"/>
        <v>2356.96</v>
      </c>
      <c r="V7" s="19">
        <f t="shared" si="3"/>
        <v>374.4</v>
      </c>
      <c r="W7" s="19">
        <f t="shared" si="4"/>
        <v>2731.36</v>
      </c>
      <c r="X7" s="15"/>
      <c r="Y7" s="15"/>
      <c r="Z7" s="15"/>
      <c r="AA7" s="15"/>
      <c r="AB7" s="15"/>
      <c r="AC7" s="15"/>
      <c r="AD7" s="22">
        <v>317170.0</v>
      </c>
      <c r="AE7" s="23" t="s">
        <v>84</v>
      </c>
      <c r="AF7" s="15"/>
      <c r="AG7" s="15">
        <v>1.11</v>
      </c>
      <c r="AH7" s="15"/>
      <c r="AI7" s="15"/>
      <c r="AJ7" s="15"/>
      <c r="AK7" s="15"/>
      <c r="AL7" s="15"/>
      <c r="AM7" s="15"/>
      <c r="AN7" s="15"/>
      <c r="AO7" s="20">
        <f t="shared" si="9"/>
        <v>141.4176</v>
      </c>
      <c r="AP7" s="20">
        <f t="shared" si="5"/>
        <v>35.3544</v>
      </c>
      <c r="AQ7" s="20"/>
      <c r="AR7" s="15"/>
      <c r="AS7" s="20">
        <f t="shared" si="6"/>
        <v>177.882</v>
      </c>
      <c r="AT7" s="19">
        <f t="shared" si="7"/>
        <v>2179.078</v>
      </c>
      <c r="AU7" s="19">
        <f t="shared" si="8"/>
        <v>198.098</v>
      </c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</row>
    <row r="8" ht="15.75" customHeight="1">
      <c r="A8" s="15" t="s">
        <v>91</v>
      </c>
      <c r="B8" s="15">
        <v>20396.0</v>
      </c>
      <c r="C8" s="16" t="s">
        <v>92</v>
      </c>
      <c r="D8" s="15">
        <v>1000614.0</v>
      </c>
      <c r="E8" s="15" t="s">
        <v>93</v>
      </c>
      <c r="F8" s="15" t="s">
        <v>61</v>
      </c>
      <c r="G8" s="17" t="s">
        <v>6</v>
      </c>
      <c r="H8" s="15" t="s">
        <v>94</v>
      </c>
      <c r="I8" s="15" t="s">
        <v>80</v>
      </c>
      <c r="J8" s="15" t="s">
        <v>95</v>
      </c>
      <c r="K8" s="18">
        <v>44986.0</v>
      </c>
      <c r="L8" s="15" t="s">
        <v>96</v>
      </c>
      <c r="M8" s="15" t="s">
        <v>83</v>
      </c>
      <c r="N8" s="15">
        <v>107.25</v>
      </c>
      <c r="O8" s="15">
        <v>10.0</v>
      </c>
      <c r="P8" s="15">
        <v>12.0</v>
      </c>
      <c r="Q8" s="19">
        <f>N8*P8*0.9</f>
        <v>1158.3</v>
      </c>
      <c r="R8" s="19"/>
      <c r="S8" s="19">
        <v>2.5</v>
      </c>
      <c r="T8" s="19">
        <v>82.0</v>
      </c>
      <c r="U8" s="19">
        <f t="shared" si="2"/>
        <v>1242.8</v>
      </c>
      <c r="V8" s="19">
        <f t="shared" si="3"/>
        <v>198.448</v>
      </c>
      <c r="W8" s="19">
        <f t="shared" si="4"/>
        <v>1441.248</v>
      </c>
      <c r="X8" s="15"/>
      <c r="Y8" s="15">
        <v>5.6681847E7</v>
      </c>
      <c r="Z8" s="21" t="s">
        <v>97</v>
      </c>
      <c r="AA8" s="15"/>
      <c r="AB8" s="15"/>
      <c r="AC8" s="15"/>
      <c r="AD8" s="22">
        <v>285530.0</v>
      </c>
      <c r="AE8" s="23" t="s">
        <v>98</v>
      </c>
      <c r="AF8" s="15"/>
      <c r="AG8" s="15">
        <v>1.11</v>
      </c>
      <c r="AH8" s="15"/>
      <c r="AI8" s="15"/>
      <c r="AJ8" s="15"/>
      <c r="AK8" s="15"/>
      <c r="AL8" s="15"/>
      <c r="AM8" s="15"/>
      <c r="AN8" s="15"/>
      <c r="AO8" s="20">
        <f t="shared" si="9"/>
        <v>74.568</v>
      </c>
      <c r="AP8" s="20">
        <f t="shared" si="5"/>
        <v>18.642</v>
      </c>
      <c r="AQ8" s="20"/>
      <c r="AR8" s="15"/>
      <c r="AS8" s="20">
        <f t="shared" si="6"/>
        <v>94.32</v>
      </c>
      <c r="AT8" s="19">
        <f t="shared" si="7"/>
        <v>1148.48</v>
      </c>
      <c r="AU8" s="19">
        <f t="shared" si="8"/>
        <v>95.70666667</v>
      </c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</row>
    <row r="9" ht="15.75" customHeight="1">
      <c r="A9" s="15" t="s">
        <v>99</v>
      </c>
      <c r="B9" s="15">
        <v>20356.0</v>
      </c>
      <c r="C9" s="16" t="s">
        <v>46</v>
      </c>
      <c r="D9" s="15">
        <v>1000619.0</v>
      </c>
      <c r="E9" s="15" t="s">
        <v>100</v>
      </c>
      <c r="F9" s="15" t="s">
        <v>61</v>
      </c>
      <c r="G9" s="17" t="s">
        <v>6</v>
      </c>
      <c r="H9" s="15" t="s">
        <v>101</v>
      </c>
      <c r="I9" s="15" t="s">
        <v>102</v>
      </c>
      <c r="J9" s="15" t="s">
        <v>50</v>
      </c>
      <c r="K9" s="18">
        <v>45108.0</v>
      </c>
      <c r="L9" s="15" t="s">
        <v>96</v>
      </c>
      <c r="M9" s="15" t="s">
        <v>103</v>
      </c>
      <c r="N9" s="15">
        <v>104.5</v>
      </c>
      <c r="O9" s="25"/>
      <c r="P9" s="15">
        <v>14.0</v>
      </c>
      <c r="Q9" s="19">
        <f t="shared" ref="Q9:Q10" si="10">N9*P9</f>
        <v>1463</v>
      </c>
      <c r="R9" s="19"/>
      <c r="S9" s="19"/>
      <c r="T9" s="19"/>
      <c r="U9" s="19">
        <f t="shared" si="2"/>
        <v>1463</v>
      </c>
      <c r="V9" s="19">
        <f t="shared" si="3"/>
        <v>234.08</v>
      </c>
      <c r="W9" s="19">
        <f t="shared" si="4"/>
        <v>1697.08</v>
      </c>
      <c r="X9" s="25"/>
      <c r="Y9" s="25"/>
      <c r="Z9" s="25"/>
      <c r="AA9" s="25"/>
      <c r="AB9" s="25"/>
      <c r="AC9" s="25"/>
      <c r="AD9" s="22">
        <v>217674.0</v>
      </c>
      <c r="AE9" s="23" t="s">
        <v>104</v>
      </c>
      <c r="AF9" s="25"/>
      <c r="AG9" s="15">
        <v>1.11</v>
      </c>
      <c r="AH9" s="25"/>
      <c r="AI9" s="25"/>
      <c r="AJ9" s="25"/>
      <c r="AK9" s="25"/>
      <c r="AL9" s="25"/>
      <c r="AM9" s="25"/>
      <c r="AN9" s="25"/>
      <c r="AO9" s="20">
        <f t="shared" si="9"/>
        <v>87.78</v>
      </c>
      <c r="AP9" s="20">
        <f t="shared" si="5"/>
        <v>21.945</v>
      </c>
      <c r="AQ9" s="20"/>
      <c r="AR9" s="25"/>
      <c r="AS9" s="20">
        <f t="shared" si="6"/>
        <v>110.835</v>
      </c>
      <c r="AT9" s="19">
        <f t="shared" si="7"/>
        <v>1352.165</v>
      </c>
      <c r="AU9" s="19">
        <f t="shared" si="8"/>
        <v>96.58321429</v>
      </c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</row>
    <row r="10" ht="15.75" customHeight="1">
      <c r="A10" s="15" t="s">
        <v>105</v>
      </c>
      <c r="B10" s="15">
        <v>20338.0</v>
      </c>
      <c r="C10" s="16" t="s">
        <v>46</v>
      </c>
      <c r="D10" s="15">
        <v>1000627.0</v>
      </c>
      <c r="E10" s="15" t="s">
        <v>106</v>
      </c>
      <c r="F10" s="15" t="s">
        <v>61</v>
      </c>
      <c r="G10" s="17" t="s">
        <v>6</v>
      </c>
      <c r="H10" s="15" t="s">
        <v>62</v>
      </c>
      <c r="I10" s="15" t="s">
        <v>107</v>
      </c>
      <c r="J10" s="15" t="s">
        <v>108</v>
      </c>
      <c r="K10" s="18">
        <v>45017.0</v>
      </c>
      <c r="L10" s="15" t="s">
        <v>96</v>
      </c>
      <c r="M10" s="15" t="s">
        <v>109</v>
      </c>
      <c r="N10" s="15">
        <v>107.25</v>
      </c>
      <c r="O10" s="25"/>
      <c r="P10" s="15">
        <v>11.0</v>
      </c>
      <c r="Q10" s="19">
        <f t="shared" si="10"/>
        <v>1179.75</v>
      </c>
      <c r="R10" s="19"/>
      <c r="S10" s="19"/>
      <c r="T10" s="19"/>
      <c r="U10" s="19">
        <f t="shared" si="2"/>
        <v>1179.75</v>
      </c>
      <c r="V10" s="19">
        <f t="shared" si="3"/>
        <v>188.76</v>
      </c>
      <c r="W10" s="19">
        <f t="shared" si="4"/>
        <v>1368.51</v>
      </c>
      <c r="X10" s="25"/>
      <c r="Y10" s="25"/>
      <c r="Z10" s="25"/>
      <c r="AA10" s="25"/>
      <c r="AB10" s="25"/>
      <c r="AC10" s="25"/>
      <c r="AD10" s="22">
        <v>100181.0</v>
      </c>
      <c r="AE10" s="23" t="s">
        <v>110</v>
      </c>
      <c r="AF10" s="25"/>
      <c r="AG10" s="15">
        <v>1.11</v>
      </c>
      <c r="AH10" s="25"/>
      <c r="AI10" s="25"/>
      <c r="AJ10" s="25"/>
      <c r="AK10" s="25"/>
      <c r="AL10" s="25"/>
      <c r="AM10" s="25"/>
      <c r="AN10" s="25"/>
      <c r="AO10" s="20">
        <f t="shared" si="9"/>
        <v>70.785</v>
      </c>
      <c r="AP10" s="20">
        <f t="shared" si="5"/>
        <v>17.69625</v>
      </c>
      <c r="AQ10" s="20"/>
      <c r="AR10" s="25"/>
      <c r="AS10" s="20">
        <f t="shared" si="6"/>
        <v>89.59125</v>
      </c>
      <c r="AT10" s="19">
        <f t="shared" si="7"/>
        <v>1090.15875</v>
      </c>
      <c r="AU10" s="19">
        <f t="shared" si="8"/>
        <v>99.10534091</v>
      </c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</row>
    <row r="11" ht="15.75" customHeight="1">
      <c r="A11" s="15" t="s">
        <v>111</v>
      </c>
      <c r="B11" s="15">
        <v>20341.0</v>
      </c>
      <c r="C11" s="16" t="s">
        <v>46</v>
      </c>
      <c r="D11" s="15">
        <v>2874.0</v>
      </c>
      <c r="E11" s="15" t="s">
        <v>112</v>
      </c>
      <c r="F11" s="15" t="s">
        <v>88</v>
      </c>
      <c r="G11" s="17" t="s">
        <v>6</v>
      </c>
      <c r="H11" s="15" t="s">
        <v>55</v>
      </c>
      <c r="I11" s="15" t="s">
        <v>113</v>
      </c>
      <c r="J11" s="15" t="s">
        <v>55</v>
      </c>
      <c r="K11" s="15" t="s">
        <v>114</v>
      </c>
      <c r="L11" s="15" t="s">
        <v>74</v>
      </c>
      <c r="M11" s="15" t="s">
        <v>115</v>
      </c>
      <c r="N11" s="15">
        <v>53.0</v>
      </c>
      <c r="O11" s="15">
        <v>10.0</v>
      </c>
      <c r="P11" s="15">
        <v>5.0</v>
      </c>
      <c r="Q11" s="19">
        <f>N11*P11*0.9</f>
        <v>238.5</v>
      </c>
      <c r="R11" s="19"/>
      <c r="S11" s="19"/>
      <c r="T11" s="19"/>
      <c r="U11" s="19">
        <f t="shared" si="2"/>
        <v>238.5</v>
      </c>
      <c r="V11" s="19">
        <f t="shared" si="3"/>
        <v>38.16</v>
      </c>
      <c r="W11" s="19">
        <f t="shared" si="4"/>
        <v>276.66</v>
      </c>
      <c r="X11" s="25"/>
      <c r="Y11" s="15"/>
      <c r="Z11" s="21" t="s">
        <v>97</v>
      </c>
      <c r="AA11" s="25"/>
      <c r="AB11" s="25"/>
      <c r="AC11" s="25"/>
      <c r="AD11" s="22">
        <v>7560685.0</v>
      </c>
      <c r="AE11" s="23" t="s">
        <v>116</v>
      </c>
      <c r="AF11" s="15">
        <v>2.75</v>
      </c>
      <c r="AG11" s="15">
        <v>1.11</v>
      </c>
      <c r="AH11" s="25"/>
      <c r="AI11" s="15">
        <v>42.93</v>
      </c>
      <c r="AJ11" s="15">
        <v>2.39</v>
      </c>
      <c r="AK11" s="25"/>
      <c r="AL11" s="25"/>
      <c r="AM11" s="25"/>
      <c r="AN11" s="25"/>
      <c r="AO11" s="20">
        <f t="shared" si="9"/>
        <v>14.31</v>
      </c>
      <c r="AP11" s="20">
        <f t="shared" si="5"/>
        <v>3.5775</v>
      </c>
      <c r="AQ11" s="20"/>
      <c r="AR11" s="25"/>
      <c r="AS11" s="20">
        <f t="shared" si="6"/>
        <v>67.0675</v>
      </c>
      <c r="AT11" s="19">
        <f t="shared" si="7"/>
        <v>171.4325</v>
      </c>
      <c r="AU11" s="19">
        <f t="shared" si="8"/>
        <v>34.2865</v>
      </c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</row>
    <row r="12" ht="15.75" customHeight="1">
      <c r="A12" s="15" t="s">
        <v>117</v>
      </c>
      <c r="B12" s="15">
        <v>20340.0</v>
      </c>
      <c r="C12" s="16" t="s">
        <v>46</v>
      </c>
      <c r="D12" s="15">
        <v>2876.0</v>
      </c>
      <c r="E12" s="15" t="s">
        <v>118</v>
      </c>
      <c r="F12" s="15" t="s">
        <v>88</v>
      </c>
      <c r="G12" s="17" t="s">
        <v>6</v>
      </c>
      <c r="H12" s="15" t="s">
        <v>119</v>
      </c>
      <c r="I12" s="15" t="s">
        <v>113</v>
      </c>
      <c r="J12" s="15" t="s">
        <v>119</v>
      </c>
      <c r="K12" s="18">
        <v>44986.0</v>
      </c>
      <c r="L12" s="15" t="s">
        <v>120</v>
      </c>
      <c r="M12" s="15" t="s">
        <v>109</v>
      </c>
      <c r="N12" s="15">
        <v>112.12</v>
      </c>
      <c r="O12" s="15">
        <v>15.0</v>
      </c>
      <c r="P12" s="15">
        <v>8.0</v>
      </c>
      <c r="Q12" s="19">
        <v>766.61</v>
      </c>
      <c r="R12" s="19"/>
      <c r="S12" s="19"/>
      <c r="T12" s="19"/>
      <c r="U12" s="19">
        <f t="shared" si="2"/>
        <v>766.61</v>
      </c>
      <c r="V12" s="19">
        <f t="shared" si="3"/>
        <v>122.6576</v>
      </c>
      <c r="W12" s="19">
        <f t="shared" si="4"/>
        <v>889.2676</v>
      </c>
      <c r="X12" s="25"/>
      <c r="Y12" s="15">
        <v>4.1421403E7</v>
      </c>
      <c r="Z12" s="21" t="s">
        <v>121</v>
      </c>
      <c r="AA12" s="25"/>
      <c r="AB12" s="25"/>
      <c r="AC12" s="25"/>
      <c r="AD12" s="22"/>
      <c r="AE12" s="23"/>
      <c r="AF12" s="25"/>
      <c r="AG12" s="15">
        <v>1.11</v>
      </c>
      <c r="AH12" s="25"/>
      <c r="AI12" s="25"/>
      <c r="AJ12" s="25"/>
      <c r="AK12" s="25"/>
      <c r="AL12" s="25"/>
      <c r="AM12" s="25"/>
      <c r="AN12" s="25"/>
      <c r="AO12" s="20">
        <f t="shared" si="9"/>
        <v>45.9966</v>
      </c>
      <c r="AP12" s="20">
        <f t="shared" si="5"/>
        <v>11.49915</v>
      </c>
      <c r="AQ12" s="20"/>
      <c r="AR12" s="25"/>
      <c r="AS12" s="20">
        <f t="shared" si="6"/>
        <v>58.60575</v>
      </c>
      <c r="AT12" s="19">
        <f t="shared" si="7"/>
        <v>708.00425</v>
      </c>
      <c r="AU12" s="19">
        <f t="shared" si="8"/>
        <v>88.50053125</v>
      </c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</row>
    <row r="13" ht="15.75" customHeight="1">
      <c r="A13" s="15" t="s">
        <v>122</v>
      </c>
      <c r="B13" s="15">
        <v>20344.0</v>
      </c>
      <c r="C13" s="16" t="s">
        <v>46</v>
      </c>
      <c r="D13" s="15">
        <v>1000629.0</v>
      </c>
      <c r="E13" s="15" t="s">
        <v>123</v>
      </c>
      <c r="F13" s="15" t="s">
        <v>61</v>
      </c>
      <c r="G13" s="17" t="s">
        <v>6</v>
      </c>
      <c r="H13" s="15" t="s">
        <v>124</v>
      </c>
      <c r="I13" s="15" t="s">
        <v>125</v>
      </c>
      <c r="J13" s="15" t="s">
        <v>90</v>
      </c>
      <c r="K13" s="18">
        <v>45017.0</v>
      </c>
      <c r="L13" s="15" t="s">
        <v>51</v>
      </c>
      <c r="M13" s="15" t="s">
        <v>109</v>
      </c>
      <c r="N13" s="15">
        <v>146.25</v>
      </c>
      <c r="O13" s="25"/>
      <c r="P13" s="15">
        <v>9.0</v>
      </c>
      <c r="Q13" s="19">
        <f t="shared" ref="Q13:Q15" si="11">N13*P13</f>
        <v>1316.25</v>
      </c>
      <c r="R13" s="19"/>
      <c r="S13" s="19"/>
      <c r="T13" s="19"/>
      <c r="U13" s="19">
        <f t="shared" si="2"/>
        <v>1316.25</v>
      </c>
      <c r="V13" s="19">
        <f t="shared" si="3"/>
        <v>210.6</v>
      </c>
      <c r="W13" s="19">
        <f t="shared" si="4"/>
        <v>1526.85</v>
      </c>
      <c r="X13" s="25"/>
      <c r="Y13" s="25"/>
      <c r="Z13" s="25"/>
      <c r="AA13" s="25"/>
      <c r="AB13" s="25"/>
      <c r="AC13" s="25"/>
      <c r="AD13" s="22"/>
      <c r="AE13" s="23"/>
      <c r="AF13" s="25"/>
      <c r="AG13" s="15">
        <v>1.11</v>
      </c>
      <c r="AH13" s="25"/>
      <c r="AI13" s="15">
        <v>65.81</v>
      </c>
      <c r="AJ13" s="25"/>
      <c r="AK13" s="25"/>
      <c r="AL13" s="25"/>
      <c r="AM13" s="25"/>
      <c r="AN13" s="25"/>
      <c r="AO13" s="20">
        <f t="shared" si="9"/>
        <v>78.975</v>
      </c>
      <c r="AP13" s="20">
        <f t="shared" si="5"/>
        <v>19.74375</v>
      </c>
      <c r="AQ13" s="20"/>
      <c r="AR13" s="25"/>
      <c r="AS13" s="20">
        <f t="shared" si="6"/>
        <v>165.63875</v>
      </c>
      <c r="AT13" s="19">
        <f t="shared" si="7"/>
        <v>1150.61125</v>
      </c>
      <c r="AU13" s="19">
        <f t="shared" si="8"/>
        <v>127.8456944</v>
      </c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</row>
    <row r="14" ht="15.75" customHeight="1">
      <c r="A14" s="15" t="s">
        <v>126</v>
      </c>
      <c r="B14" s="15">
        <v>20335.0</v>
      </c>
      <c r="C14" s="16" t="s">
        <v>46</v>
      </c>
      <c r="D14" s="15">
        <v>2900.0</v>
      </c>
      <c r="E14" s="15" t="s">
        <v>127</v>
      </c>
      <c r="F14" s="15" t="s">
        <v>88</v>
      </c>
      <c r="G14" s="17" t="s">
        <v>6</v>
      </c>
      <c r="H14" s="15" t="s">
        <v>128</v>
      </c>
      <c r="I14" s="15" t="s">
        <v>125</v>
      </c>
      <c r="J14" s="15" t="s">
        <v>128</v>
      </c>
      <c r="K14" s="18">
        <v>44927.0</v>
      </c>
      <c r="L14" s="15" t="s">
        <v>96</v>
      </c>
      <c r="M14" s="15" t="s">
        <v>129</v>
      </c>
      <c r="N14" s="15">
        <v>100.0</v>
      </c>
      <c r="O14" s="25"/>
      <c r="P14" s="15">
        <v>5.0</v>
      </c>
      <c r="Q14" s="19">
        <f t="shared" si="11"/>
        <v>500</v>
      </c>
      <c r="R14" s="19">
        <v>45.54</v>
      </c>
      <c r="S14" s="19"/>
      <c r="T14" s="19">
        <v>20.0</v>
      </c>
      <c r="U14" s="19">
        <f t="shared" si="2"/>
        <v>565.54</v>
      </c>
      <c r="V14" s="19">
        <f t="shared" si="3"/>
        <v>86.8432</v>
      </c>
      <c r="W14" s="19">
        <f t="shared" si="4"/>
        <v>652.3832</v>
      </c>
      <c r="X14" s="25"/>
      <c r="Y14" s="25"/>
      <c r="Z14" s="25"/>
      <c r="AA14" s="25"/>
      <c r="AB14" s="25"/>
      <c r="AC14" s="25"/>
      <c r="AD14" s="22"/>
      <c r="AE14" s="23"/>
      <c r="AF14" s="25"/>
      <c r="AG14" s="15">
        <v>1.11</v>
      </c>
      <c r="AH14" s="25"/>
      <c r="AI14" s="25"/>
      <c r="AJ14" s="25"/>
      <c r="AK14" s="25"/>
      <c r="AL14" s="25"/>
      <c r="AM14" s="25"/>
      <c r="AN14" s="25"/>
      <c r="AO14" s="20">
        <f t="shared" si="9"/>
        <v>33.9324</v>
      </c>
      <c r="AP14" s="20">
        <f t="shared" si="5"/>
        <v>8.4831</v>
      </c>
      <c r="AQ14" s="20"/>
      <c r="AR14" s="25"/>
      <c r="AS14" s="20">
        <f t="shared" si="6"/>
        <v>43.5255</v>
      </c>
      <c r="AT14" s="19">
        <f t="shared" si="7"/>
        <v>522.0145</v>
      </c>
      <c r="AU14" s="19">
        <f t="shared" si="8"/>
        <v>104.4029</v>
      </c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</row>
    <row r="15" ht="15.75" customHeight="1">
      <c r="A15" s="15" t="s">
        <v>130</v>
      </c>
      <c r="B15" s="15">
        <v>20339.0</v>
      </c>
      <c r="C15" s="16" t="s">
        <v>46</v>
      </c>
      <c r="D15" s="15">
        <v>1000631.0</v>
      </c>
      <c r="E15" s="15" t="s">
        <v>131</v>
      </c>
      <c r="F15" s="15" t="s">
        <v>61</v>
      </c>
      <c r="G15" s="17" t="s">
        <v>6</v>
      </c>
      <c r="H15" s="15" t="s">
        <v>132</v>
      </c>
      <c r="I15" s="15" t="s">
        <v>133</v>
      </c>
      <c r="J15" s="15" t="s">
        <v>134</v>
      </c>
      <c r="K15" s="18">
        <v>44927.0</v>
      </c>
      <c r="L15" s="15" t="s">
        <v>135</v>
      </c>
      <c r="M15" s="15" t="s">
        <v>115</v>
      </c>
      <c r="N15" s="15">
        <v>85.0</v>
      </c>
      <c r="O15" s="25"/>
      <c r="P15" s="15">
        <v>6.0</v>
      </c>
      <c r="Q15" s="19">
        <f t="shared" si="11"/>
        <v>510</v>
      </c>
      <c r="R15" s="19"/>
      <c r="S15" s="19"/>
      <c r="T15" s="19"/>
      <c r="U15" s="19">
        <f t="shared" si="2"/>
        <v>510</v>
      </c>
      <c r="V15" s="19">
        <f t="shared" si="3"/>
        <v>81.6</v>
      </c>
      <c r="W15" s="19">
        <f t="shared" si="4"/>
        <v>591.6</v>
      </c>
      <c r="X15" s="25"/>
      <c r="Y15" s="25"/>
      <c r="Z15" s="25"/>
      <c r="AA15" s="25"/>
      <c r="AB15" s="25"/>
      <c r="AC15" s="25"/>
      <c r="AD15" s="22">
        <v>1.161727E7</v>
      </c>
      <c r="AE15" s="23" t="s">
        <v>136</v>
      </c>
      <c r="AF15" s="15">
        <v>4.26</v>
      </c>
      <c r="AG15" s="15">
        <v>1.11</v>
      </c>
      <c r="AH15" s="25"/>
      <c r="AI15" s="15">
        <v>81.6</v>
      </c>
      <c r="AJ15" s="25"/>
      <c r="AK15" s="25"/>
      <c r="AL15" s="25"/>
      <c r="AM15" s="15">
        <v>7.395</v>
      </c>
      <c r="AN15" s="25"/>
      <c r="AO15" s="20">
        <f t="shared" si="9"/>
        <v>30.6</v>
      </c>
      <c r="AP15" s="20">
        <f t="shared" si="5"/>
        <v>7.65</v>
      </c>
      <c r="AQ15" s="20"/>
      <c r="AR15" s="25"/>
      <c r="AS15" s="20">
        <f t="shared" si="6"/>
        <v>132.615</v>
      </c>
      <c r="AT15" s="19">
        <f t="shared" si="7"/>
        <v>377.385</v>
      </c>
      <c r="AU15" s="19">
        <f t="shared" si="8"/>
        <v>62.8975</v>
      </c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</row>
    <row r="16" ht="15.75" customHeight="1">
      <c r="A16" s="15" t="s">
        <v>137</v>
      </c>
      <c r="B16" s="15">
        <v>20345.0</v>
      </c>
      <c r="C16" s="16" t="s">
        <v>46</v>
      </c>
      <c r="D16" s="15">
        <v>1000630.0</v>
      </c>
      <c r="E16" s="15" t="s">
        <v>138</v>
      </c>
      <c r="F16" s="15" t="s">
        <v>61</v>
      </c>
      <c r="G16" s="17" t="s">
        <v>6</v>
      </c>
      <c r="H16" s="15" t="s">
        <v>139</v>
      </c>
      <c r="I16" s="15" t="s">
        <v>125</v>
      </c>
      <c r="J16" s="15" t="s">
        <v>50</v>
      </c>
      <c r="K16" s="18">
        <v>45017.0</v>
      </c>
      <c r="L16" s="15" t="s">
        <v>82</v>
      </c>
      <c r="M16" s="15" t="s">
        <v>140</v>
      </c>
      <c r="N16" s="15">
        <v>152.1</v>
      </c>
      <c r="O16" s="15">
        <v>10.0</v>
      </c>
      <c r="P16" s="15">
        <v>9.0</v>
      </c>
      <c r="Q16" s="19">
        <f>N16*P16*0.9</f>
        <v>1232.01</v>
      </c>
      <c r="R16" s="19"/>
      <c r="S16" s="19"/>
      <c r="T16" s="19"/>
      <c r="U16" s="19">
        <f t="shared" si="2"/>
        <v>1232.01</v>
      </c>
      <c r="V16" s="19">
        <f t="shared" si="3"/>
        <v>197.1216</v>
      </c>
      <c r="W16" s="19">
        <f t="shared" si="4"/>
        <v>1429.1316</v>
      </c>
      <c r="X16" s="15"/>
      <c r="Y16" s="15">
        <v>6.6321551E7</v>
      </c>
      <c r="Z16" s="21" t="s">
        <v>141</v>
      </c>
      <c r="AA16" s="15">
        <v>216476.0</v>
      </c>
      <c r="AB16" s="15">
        <v>2.67134179998E11</v>
      </c>
      <c r="AC16" s="15"/>
      <c r="AD16" s="22">
        <v>265510.0</v>
      </c>
      <c r="AE16" s="23" t="s">
        <v>142</v>
      </c>
      <c r="AF16" s="15"/>
      <c r="AG16" s="15">
        <v>1.11</v>
      </c>
      <c r="AH16" s="15"/>
      <c r="AI16" s="15"/>
      <c r="AJ16" s="15"/>
      <c r="AK16" s="15"/>
      <c r="AL16" s="15"/>
      <c r="AM16" s="15"/>
      <c r="AN16" s="15">
        <v>67.72185</v>
      </c>
      <c r="AO16" s="20">
        <f t="shared" si="9"/>
        <v>73.9206</v>
      </c>
      <c r="AP16" s="20">
        <f t="shared" si="5"/>
        <v>18.48015</v>
      </c>
      <c r="AQ16" s="20">
        <f>W16*0.04</f>
        <v>57.165264</v>
      </c>
      <c r="AR16" s="15">
        <v>74.69</v>
      </c>
      <c r="AS16" s="20">
        <f t="shared" si="6"/>
        <v>293.087864</v>
      </c>
      <c r="AT16" s="19">
        <f t="shared" si="7"/>
        <v>938.922136</v>
      </c>
      <c r="AU16" s="19">
        <f t="shared" si="8"/>
        <v>104.3246818</v>
      </c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</row>
    <row r="17" ht="15.75" customHeight="1">
      <c r="A17" s="15" t="s">
        <v>143</v>
      </c>
      <c r="B17" s="15">
        <v>20352.0</v>
      </c>
      <c r="C17" s="16" t="s">
        <v>46</v>
      </c>
      <c r="D17" s="15">
        <v>2879.0</v>
      </c>
      <c r="E17" s="15" t="s">
        <v>144</v>
      </c>
      <c r="F17" s="15" t="s">
        <v>88</v>
      </c>
      <c r="G17" s="17" t="s">
        <v>6</v>
      </c>
      <c r="H17" s="15" t="s">
        <v>145</v>
      </c>
      <c r="I17" s="15" t="s">
        <v>146</v>
      </c>
      <c r="J17" s="15" t="s">
        <v>145</v>
      </c>
      <c r="K17" s="18">
        <v>45047.0</v>
      </c>
      <c r="L17" s="15" t="s">
        <v>135</v>
      </c>
      <c r="M17" s="15" t="s">
        <v>129</v>
      </c>
      <c r="N17" s="15">
        <v>85.0</v>
      </c>
      <c r="O17" s="15"/>
      <c r="P17" s="15">
        <v>6.0</v>
      </c>
      <c r="Q17" s="19">
        <f t="shared" ref="Q17:Q28" si="12">N17*P17</f>
        <v>510</v>
      </c>
      <c r="R17" s="19"/>
      <c r="S17" s="19">
        <v>5.92</v>
      </c>
      <c r="T17" s="19">
        <v>170.0</v>
      </c>
      <c r="U17" s="19">
        <f t="shared" si="2"/>
        <v>685.92</v>
      </c>
      <c r="V17" s="19">
        <f t="shared" si="3"/>
        <v>108.8</v>
      </c>
      <c r="W17" s="19">
        <f t="shared" si="4"/>
        <v>794.72</v>
      </c>
      <c r="X17" s="15"/>
      <c r="Y17" s="15"/>
      <c r="Z17" s="15"/>
      <c r="AA17" s="15"/>
      <c r="AB17" s="15"/>
      <c r="AC17" s="15"/>
      <c r="AD17" s="22">
        <v>100181.0</v>
      </c>
      <c r="AE17" s="23" t="s">
        <v>110</v>
      </c>
      <c r="AF17" s="15"/>
      <c r="AG17" s="15">
        <v>1.11</v>
      </c>
      <c r="AH17" s="15"/>
      <c r="AI17" s="15"/>
      <c r="AJ17" s="15"/>
      <c r="AK17" s="15"/>
      <c r="AL17" s="15"/>
      <c r="AM17" s="15"/>
      <c r="AN17" s="15"/>
      <c r="AO17" s="20">
        <f t="shared" si="9"/>
        <v>41.1552</v>
      </c>
      <c r="AP17" s="20">
        <f t="shared" si="5"/>
        <v>10.2888</v>
      </c>
      <c r="AQ17" s="20"/>
      <c r="AR17" s="15"/>
      <c r="AS17" s="20">
        <f t="shared" si="6"/>
        <v>52.554</v>
      </c>
      <c r="AT17" s="19">
        <f t="shared" si="7"/>
        <v>633.366</v>
      </c>
      <c r="AU17" s="19">
        <f t="shared" si="8"/>
        <v>105.561</v>
      </c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</row>
    <row r="18" ht="15.75" customHeight="1">
      <c r="A18" s="15" t="s">
        <v>147</v>
      </c>
      <c r="B18" s="15">
        <v>20347.0</v>
      </c>
      <c r="C18" s="16" t="s">
        <v>46</v>
      </c>
      <c r="D18" s="15">
        <v>1000622.0</v>
      </c>
      <c r="E18" s="15" t="s">
        <v>148</v>
      </c>
      <c r="F18" s="15" t="s">
        <v>61</v>
      </c>
      <c r="G18" s="17" t="s">
        <v>6</v>
      </c>
      <c r="H18" s="15" t="s">
        <v>90</v>
      </c>
      <c r="I18" s="15" t="s">
        <v>146</v>
      </c>
      <c r="J18" s="15" t="s">
        <v>90</v>
      </c>
      <c r="K18" s="18">
        <v>44927.0</v>
      </c>
      <c r="L18" s="15" t="s">
        <v>65</v>
      </c>
      <c r="M18" s="15" t="s">
        <v>115</v>
      </c>
      <c r="N18" s="15">
        <v>110.0</v>
      </c>
      <c r="O18" s="15"/>
      <c r="P18" s="15">
        <v>4.0</v>
      </c>
      <c r="Q18" s="19">
        <f t="shared" si="12"/>
        <v>440</v>
      </c>
      <c r="R18" s="19"/>
      <c r="S18" s="19"/>
      <c r="T18" s="19"/>
      <c r="U18" s="19">
        <f t="shared" si="2"/>
        <v>440</v>
      </c>
      <c r="V18" s="19">
        <f t="shared" si="3"/>
        <v>70.4</v>
      </c>
      <c r="W18" s="19">
        <f t="shared" si="4"/>
        <v>510.4</v>
      </c>
      <c r="X18" s="15"/>
      <c r="Y18" s="15"/>
      <c r="Z18" s="15"/>
      <c r="AA18" s="15"/>
      <c r="AB18" s="15"/>
      <c r="AC18" s="15"/>
      <c r="AD18" s="22">
        <v>1.161727E7</v>
      </c>
      <c r="AE18" s="23" t="s">
        <v>136</v>
      </c>
      <c r="AF18" s="15">
        <v>4.26</v>
      </c>
      <c r="AG18" s="15">
        <v>1.11</v>
      </c>
      <c r="AH18" s="15"/>
      <c r="AI18" s="15">
        <v>70.4</v>
      </c>
      <c r="AJ18" s="15"/>
      <c r="AK18" s="15"/>
      <c r="AL18" s="15"/>
      <c r="AM18" s="15">
        <v>6.38</v>
      </c>
      <c r="AN18" s="15"/>
      <c r="AO18" s="20">
        <f t="shared" si="9"/>
        <v>26.4</v>
      </c>
      <c r="AP18" s="20">
        <f t="shared" si="5"/>
        <v>6.6</v>
      </c>
      <c r="AQ18" s="20"/>
      <c r="AR18" s="15"/>
      <c r="AS18" s="20">
        <f t="shared" si="6"/>
        <v>115.15</v>
      </c>
      <c r="AT18" s="19">
        <f t="shared" si="7"/>
        <v>324.85</v>
      </c>
      <c r="AU18" s="19">
        <f t="shared" si="8"/>
        <v>81.2125</v>
      </c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</row>
    <row r="19" ht="15.75" customHeight="1">
      <c r="A19" s="15" t="s">
        <v>149</v>
      </c>
      <c r="B19" s="15">
        <v>20336.0</v>
      </c>
      <c r="C19" s="16" t="s">
        <v>46</v>
      </c>
      <c r="D19" s="15">
        <v>2881.0</v>
      </c>
      <c r="E19" s="15" t="s">
        <v>150</v>
      </c>
      <c r="F19" s="15" t="s">
        <v>88</v>
      </c>
      <c r="G19" s="17" t="s">
        <v>6</v>
      </c>
      <c r="H19" s="15" t="s">
        <v>151</v>
      </c>
      <c r="I19" s="15" t="s">
        <v>146</v>
      </c>
      <c r="J19" s="15" t="s">
        <v>151</v>
      </c>
      <c r="K19" s="15" t="s">
        <v>114</v>
      </c>
      <c r="L19" s="15" t="s">
        <v>51</v>
      </c>
      <c r="M19" s="15" t="s">
        <v>115</v>
      </c>
      <c r="N19" s="15">
        <v>150.0</v>
      </c>
      <c r="O19" s="25"/>
      <c r="P19" s="15">
        <v>3.0</v>
      </c>
      <c r="Q19" s="19">
        <f t="shared" si="12"/>
        <v>450</v>
      </c>
      <c r="R19" s="19"/>
      <c r="S19" s="19">
        <v>1.34</v>
      </c>
      <c r="T19" s="19">
        <v>58.1</v>
      </c>
      <c r="U19" s="19">
        <f t="shared" si="2"/>
        <v>509.44</v>
      </c>
      <c r="V19" s="19">
        <f t="shared" si="3"/>
        <v>81.296</v>
      </c>
      <c r="W19" s="19">
        <f t="shared" si="4"/>
        <v>590.736</v>
      </c>
      <c r="X19" s="25"/>
      <c r="Y19" s="15"/>
      <c r="Z19" s="15"/>
      <c r="AA19" s="25"/>
      <c r="AB19" s="25"/>
      <c r="AC19" s="25"/>
      <c r="AD19" s="22">
        <v>317170.0</v>
      </c>
      <c r="AE19" s="23" t="s">
        <v>84</v>
      </c>
      <c r="AF19" s="25"/>
      <c r="AG19" s="15">
        <v>1.11</v>
      </c>
      <c r="AH19" s="25"/>
      <c r="AI19" s="25"/>
      <c r="AJ19" s="25"/>
      <c r="AK19" s="25"/>
      <c r="AL19" s="25"/>
      <c r="AM19" s="25"/>
      <c r="AN19" s="25"/>
      <c r="AO19" s="20">
        <f t="shared" si="9"/>
        <v>30.5664</v>
      </c>
      <c r="AP19" s="20">
        <f t="shared" si="5"/>
        <v>7.6416</v>
      </c>
      <c r="AQ19" s="20"/>
      <c r="AR19" s="25"/>
      <c r="AS19" s="20">
        <f t="shared" si="6"/>
        <v>39.318</v>
      </c>
      <c r="AT19" s="19">
        <f t="shared" si="7"/>
        <v>470.122</v>
      </c>
      <c r="AU19" s="19">
        <f t="shared" si="8"/>
        <v>156.7073333</v>
      </c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</row>
    <row r="20" ht="15.75" customHeight="1">
      <c r="A20" s="15" t="s">
        <v>152</v>
      </c>
      <c r="B20" s="15">
        <v>20278.0</v>
      </c>
      <c r="C20" s="24">
        <v>45261.0</v>
      </c>
      <c r="D20" s="15">
        <v>2883.0</v>
      </c>
      <c r="E20" s="15" t="s">
        <v>153</v>
      </c>
      <c r="F20" s="15" t="s">
        <v>88</v>
      </c>
      <c r="G20" s="17" t="s">
        <v>6</v>
      </c>
      <c r="H20" s="15" t="s">
        <v>94</v>
      </c>
      <c r="I20" s="15" t="s">
        <v>154</v>
      </c>
      <c r="J20" s="15" t="s">
        <v>95</v>
      </c>
      <c r="K20" s="18">
        <v>45017.0</v>
      </c>
      <c r="L20" s="15" t="s">
        <v>135</v>
      </c>
      <c r="M20" s="15" t="s">
        <v>83</v>
      </c>
      <c r="N20" s="15">
        <v>82.88</v>
      </c>
      <c r="O20" s="25"/>
      <c r="P20" s="15">
        <v>7.0</v>
      </c>
      <c r="Q20" s="19">
        <f t="shared" si="12"/>
        <v>580.16</v>
      </c>
      <c r="R20" s="19"/>
      <c r="S20" s="19">
        <v>4.75</v>
      </c>
      <c r="T20" s="19">
        <v>309.68</v>
      </c>
      <c r="U20" s="19">
        <f t="shared" si="2"/>
        <v>894.59</v>
      </c>
      <c r="V20" s="19">
        <f t="shared" si="3"/>
        <v>142.3744</v>
      </c>
      <c r="W20" s="19">
        <f t="shared" si="4"/>
        <v>1036.9644</v>
      </c>
      <c r="X20" s="25"/>
      <c r="Y20" s="15">
        <v>4.9299718E7</v>
      </c>
      <c r="Z20" s="21" t="s">
        <v>155</v>
      </c>
      <c r="AA20" s="25"/>
      <c r="AB20" s="25"/>
      <c r="AC20" s="25"/>
      <c r="AD20" s="25"/>
      <c r="AE20" s="25"/>
      <c r="AF20" s="25"/>
      <c r="AG20" s="15">
        <v>1.11</v>
      </c>
      <c r="AH20" s="25"/>
      <c r="AI20" s="25"/>
      <c r="AJ20" s="25"/>
      <c r="AK20" s="25"/>
      <c r="AL20" s="25"/>
      <c r="AM20" s="25"/>
      <c r="AN20" s="25"/>
      <c r="AO20" s="20">
        <f t="shared" si="9"/>
        <v>53.6754</v>
      </c>
      <c r="AP20" s="20">
        <f t="shared" si="5"/>
        <v>13.41885</v>
      </c>
      <c r="AQ20" s="20"/>
      <c r="AR20" s="25"/>
      <c r="AS20" s="20">
        <f t="shared" si="6"/>
        <v>68.20425</v>
      </c>
      <c r="AT20" s="19">
        <f t="shared" si="7"/>
        <v>826.38575</v>
      </c>
      <c r="AU20" s="19">
        <f t="shared" si="8"/>
        <v>118.0551071</v>
      </c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</row>
    <row r="21" ht="15.75" customHeight="1">
      <c r="A21" s="15" t="s">
        <v>156</v>
      </c>
      <c r="B21" s="15">
        <v>20342.0</v>
      </c>
      <c r="C21" s="16" t="s">
        <v>46</v>
      </c>
      <c r="D21" s="15">
        <v>2885.0</v>
      </c>
      <c r="E21" s="15" t="s">
        <v>157</v>
      </c>
      <c r="F21" s="15" t="s">
        <v>88</v>
      </c>
      <c r="G21" s="17" t="s">
        <v>6</v>
      </c>
      <c r="H21" s="15" t="s">
        <v>158</v>
      </c>
      <c r="I21" s="15" t="s">
        <v>154</v>
      </c>
      <c r="J21" s="15" t="s">
        <v>158</v>
      </c>
      <c r="K21" s="18">
        <v>44986.0</v>
      </c>
      <c r="L21" s="15" t="s">
        <v>159</v>
      </c>
      <c r="M21" s="15" t="s">
        <v>129</v>
      </c>
      <c r="N21" s="15">
        <v>230.0</v>
      </c>
      <c r="O21" s="25"/>
      <c r="P21" s="15">
        <v>5.0</v>
      </c>
      <c r="Q21" s="19">
        <f t="shared" si="12"/>
        <v>1150</v>
      </c>
      <c r="R21" s="19"/>
      <c r="S21" s="19"/>
      <c r="T21" s="19"/>
      <c r="U21" s="19">
        <f t="shared" si="2"/>
        <v>1150</v>
      </c>
      <c r="V21" s="19">
        <f t="shared" si="3"/>
        <v>184</v>
      </c>
      <c r="W21" s="19">
        <f t="shared" si="4"/>
        <v>1334</v>
      </c>
      <c r="X21" s="25"/>
      <c r="Y21" s="25"/>
      <c r="Z21" s="25"/>
      <c r="AA21" s="25"/>
      <c r="AB21" s="25"/>
      <c r="AC21" s="25"/>
      <c r="AD21" s="25"/>
      <c r="AE21" s="25"/>
      <c r="AF21" s="25"/>
      <c r="AG21" s="15">
        <v>1.11</v>
      </c>
      <c r="AH21" s="25"/>
      <c r="AI21" s="25"/>
      <c r="AJ21" s="25"/>
      <c r="AK21" s="25"/>
      <c r="AL21" s="25"/>
      <c r="AM21" s="25"/>
      <c r="AN21" s="25"/>
      <c r="AO21" s="20">
        <f t="shared" si="9"/>
        <v>69</v>
      </c>
      <c r="AP21" s="20">
        <f t="shared" si="5"/>
        <v>17.25</v>
      </c>
      <c r="AQ21" s="20"/>
      <c r="AR21" s="25"/>
      <c r="AS21" s="20">
        <f t="shared" si="6"/>
        <v>87.36</v>
      </c>
      <c r="AT21" s="19">
        <f t="shared" si="7"/>
        <v>1062.64</v>
      </c>
      <c r="AU21" s="19">
        <f t="shared" si="8"/>
        <v>212.528</v>
      </c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</row>
    <row r="22" ht="15.75" customHeight="1">
      <c r="A22" s="15" t="s">
        <v>160</v>
      </c>
      <c r="B22" s="15">
        <v>20467.0</v>
      </c>
      <c r="C22" s="16" t="s">
        <v>161</v>
      </c>
      <c r="D22" s="15">
        <v>2884.0</v>
      </c>
      <c r="E22" s="15" t="s">
        <v>162</v>
      </c>
      <c r="F22" s="15" t="s">
        <v>88</v>
      </c>
      <c r="G22" s="17" t="s">
        <v>6</v>
      </c>
      <c r="H22" s="15" t="s">
        <v>158</v>
      </c>
      <c r="I22" s="15" t="s">
        <v>163</v>
      </c>
      <c r="J22" s="15" t="s">
        <v>158</v>
      </c>
      <c r="K22" s="18">
        <v>44986.0</v>
      </c>
      <c r="L22" s="15" t="s">
        <v>159</v>
      </c>
      <c r="M22" s="15" t="s">
        <v>129</v>
      </c>
      <c r="N22" s="15">
        <v>230.0</v>
      </c>
      <c r="O22" s="25"/>
      <c r="P22" s="15">
        <v>5.0</v>
      </c>
      <c r="Q22" s="19">
        <f t="shared" si="12"/>
        <v>1150</v>
      </c>
      <c r="R22" s="19"/>
      <c r="S22" s="19"/>
      <c r="T22" s="19"/>
      <c r="U22" s="19">
        <f t="shared" si="2"/>
        <v>1150</v>
      </c>
      <c r="V22" s="19">
        <f t="shared" si="3"/>
        <v>184</v>
      </c>
      <c r="W22" s="19">
        <f t="shared" si="4"/>
        <v>1334</v>
      </c>
      <c r="X22" s="25"/>
      <c r="Y22" s="25"/>
      <c r="Z22" s="25"/>
      <c r="AA22" s="25"/>
      <c r="AB22" s="25"/>
      <c r="AC22" s="25"/>
      <c r="AD22" s="25"/>
      <c r="AE22" s="25"/>
      <c r="AF22" s="25"/>
      <c r="AG22" s="15">
        <v>1.11</v>
      </c>
      <c r="AH22" s="25"/>
      <c r="AI22" s="25"/>
      <c r="AJ22" s="25"/>
      <c r="AK22" s="25"/>
      <c r="AL22" s="25"/>
      <c r="AM22" s="25"/>
      <c r="AN22" s="25"/>
      <c r="AO22" s="20">
        <f t="shared" si="9"/>
        <v>69</v>
      </c>
      <c r="AP22" s="20">
        <f t="shared" si="5"/>
        <v>17.25</v>
      </c>
      <c r="AQ22" s="20"/>
      <c r="AR22" s="25"/>
      <c r="AS22" s="20">
        <f t="shared" si="6"/>
        <v>87.36</v>
      </c>
      <c r="AT22" s="19">
        <f t="shared" si="7"/>
        <v>1062.64</v>
      </c>
      <c r="AU22" s="19">
        <f t="shared" si="8"/>
        <v>212.528</v>
      </c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</row>
    <row r="23" ht="15.75" customHeight="1">
      <c r="A23" s="15" t="s">
        <v>164</v>
      </c>
      <c r="B23" s="15">
        <v>20395.0</v>
      </c>
      <c r="C23" s="16" t="s">
        <v>92</v>
      </c>
      <c r="D23" s="15">
        <v>2888.0</v>
      </c>
      <c r="E23" s="15" t="s">
        <v>165</v>
      </c>
      <c r="F23" s="15" t="s">
        <v>88</v>
      </c>
      <c r="G23" s="17" t="s">
        <v>6</v>
      </c>
      <c r="H23" s="15" t="s">
        <v>94</v>
      </c>
      <c r="I23" s="15" t="s">
        <v>166</v>
      </c>
      <c r="J23" s="15" t="s">
        <v>94</v>
      </c>
      <c r="K23" s="18">
        <v>45047.0</v>
      </c>
      <c r="L23" s="15" t="s">
        <v>135</v>
      </c>
      <c r="M23" s="15" t="s">
        <v>167</v>
      </c>
      <c r="N23" s="15">
        <v>82.88</v>
      </c>
      <c r="O23" s="25"/>
      <c r="P23" s="15">
        <v>7.0</v>
      </c>
      <c r="Q23" s="19">
        <f t="shared" si="12"/>
        <v>580.16</v>
      </c>
      <c r="R23" s="19"/>
      <c r="S23" s="19">
        <v>2.65</v>
      </c>
      <c r="T23" s="19">
        <v>114.4</v>
      </c>
      <c r="U23" s="19">
        <f t="shared" si="2"/>
        <v>697.21</v>
      </c>
      <c r="V23" s="19">
        <f t="shared" si="3"/>
        <v>111.1296</v>
      </c>
      <c r="W23" s="19">
        <f t="shared" si="4"/>
        <v>808.3396</v>
      </c>
      <c r="X23" s="25"/>
      <c r="Y23" s="25"/>
      <c r="Z23" s="25"/>
      <c r="AA23" s="25"/>
      <c r="AB23" s="25"/>
      <c r="AC23" s="25"/>
      <c r="AD23" s="22">
        <v>355493.0</v>
      </c>
      <c r="AE23" s="23" t="s">
        <v>168</v>
      </c>
      <c r="AF23" s="15">
        <v>4.26</v>
      </c>
      <c r="AG23" s="15">
        <v>1.11</v>
      </c>
      <c r="AH23" s="25"/>
      <c r="AI23" s="15">
        <v>116.03</v>
      </c>
      <c r="AJ23" s="25"/>
      <c r="AK23" s="15">
        <v>31.91</v>
      </c>
      <c r="AL23" s="25"/>
      <c r="AM23" s="25"/>
      <c r="AN23" s="25"/>
      <c r="AO23" s="20">
        <f t="shared" si="9"/>
        <v>41.8326</v>
      </c>
      <c r="AP23" s="20">
        <f t="shared" si="5"/>
        <v>10.45815</v>
      </c>
      <c r="AQ23" s="20"/>
      <c r="AR23" s="25"/>
      <c r="AS23" s="20">
        <f t="shared" si="6"/>
        <v>205.60075</v>
      </c>
      <c r="AT23" s="19">
        <f t="shared" si="7"/>
        <v>491.60925</v>
      </c>
      <c r="AU23" s="19">
        <f t="shared" si="8"/>
        <v>70.22989286</v>
      </c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</row>
    <row r="24" ht="15.75" customHeight="1">
      <c r="A24" s="15" t="s">
        <v>169</v>
      </c>
      <c r="B24" s="15">
        <v>20392.0</v>
      </c>
      <c r="C24" s="16" t="s">
        <v>92</v>
      </c>
      <c r="D24" s="15">
        <v>2889.0</v>
      </c>
      <c r="E24" s="15" t="s">
        <v>170</v>
      </c>
      <c r="F24" s="15" t="s">
        <v>61</v>
      </c>
      <c r="G24" s="17" t="s">
        <v>6</v>
      </c>
      <c r="H24" s="15" t="s">
        <v>128</v>
      </c>
      <c r="I24" s="15" t="s">
        <v>166</v>
      </c>
      <c r="J24" s="15" t="s">
        <v>128</v>
      </c>
      <c r="K24" s="18">
        <v>45139.0</v>
      </c>
      <c r="L24" s="15" t="s">
        <v>82</v>
      </c>
      <c r="M24" s="15" t="s">
        <v>109</v>
      </c>
      <c r="N24" s="15">
        <v>152.1</v>
      </c>
      <c r="O24" s="25"/>
      <c r="P24" s="15">
        <v>8.0</v>
      </c>
      <c r="Q24" s="19">
        <f t="shared" si="12"/>
        <v>1216.8</v>
      </c>
      <c r="R24" s="19"/>
      <c r="S24" s="19"/>
      <c r="T24" s="19">
        <v>152.1</v>
      </c>
      <c r="U24" s="19">
        <f t="shared" si="2"/>
        <v>1368.9</v>
      </c>
      <c r="V24" s="19">
        <f t="shared" si="3"/>
        <v>219.024</v>
      </c>
      <c r="W24" s="19">
        <f t="shared" si="4"/>
        <v>1587.924</v>
      </c>
      <c r="X24" s="25"/>
      <c r="Y24" s="25"/>
      <c r="Z24" s="25"/>
      <c r="AA24" s="25"/>
      <c r="AB24" s="25"/>
      <c r="AC24" s="25"/>
      <c r="AD24" s="22">
        <v>265543.0</v>
      </c>
      <c r="AE24" s="23" t="s">
        <v>171</v>
      </c>
      <c r="AF24" s="25"/>
      <c r="AG24" s="15">
        <v>1.11</v>
      </c>
      <c r="AH24" s="25"/>
      <c r="AI24" s="25"/>
      <c r="AJ24" s="25"/>
      <c r="AK24" s="15">
        <v>73.01</v>
      </c>
      <c r="AL24" s="25"/>
      <c r="AM24" s="25"/>
      <c r="AN24" s="25"/>
      <c r="AO24" s="20">
        <f t="shared" si="9"/>
        <v>82.134</v>
      </c>
      <c r="AP24" s="20">
        <f t="shared" si="5"/>
        <v>20.5335</v>
      </c>
      <c r="AQ24" s="20"/>
      <c r="AR24" s="25"/>
      <c r="AS24" s="20">
        <f t="shared" si="6"/>
        <v>176.7875</v>
      </c>
      <c r="AT24" s="19">
        <f t="shared" si="7"/>
        <v>1192.1125</v>
      </c>
      <c r="AU24" s="19">
        <f t="shared" si="8"/>
        <v>149.0140625</v>
      </c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</row>
    <row r="25" ht="15.75" customHeight="1">
      <c r="A25" s="15" t="s">
        <v>53</v>
      </c>
      <c r="B25" s="15">
        <v>20394.0</v>
      </c>
      <c r="C25" s="16" t="s">
        <v>92</v>
      </c>
      <c r="D25" s="15">
        <v>930.0</v>
      </c>
      <c r="E25" s="15" t="s">
        <v>172</v>
      </c>
      <c r="F25" s="15" t="s">
        <v>71</v>
      </c>
      <c r="G25" s="17" t="s">
        <v>6</v>
      </c>
      <c r="H25" s="15" t="s">
        <v>81</v>
      </c>
      <c r="I25" s="15" t="s">
        <v>166</v>
      </c>
      <c r="J25" s="15" t="s">
        <v>62</v>
      </c>
      <c r="K25" s="18">
        <v>44986.0</v>
      </c>
      <c r="L25" s="15" t="s">
        <v>51</v>
      </c>
      <c r="M25" s="15" t="s">
        <v>173</v>
      </c>
      <c r="N25" s="15">
        <v>130.0</v>
      </c>
      <c r="O25" s="15"/>
      <c r="P25" s="15">
        <v>4.0</v>
      </c>
      <c r="Q25" s="19">
        <f t="shared" si="12"/>
        <v>520</v>
      </c>
      <c r="R25" s="19"/>
      <c r="S25" s="19"/>
      <c r="T25" s="19">
        <v>122.0</v>
      </c>
      <c r="U25" s="19">
        <f t="shared" si="2"/>
        <v>642</v>
      </c>
      <c r="V25" s="19">
        <f t="shared" si="3"/>
        <v>102.72</v>
      </c>
      <c r="W25" s="19">
        <f t="shared" si="4"/>
        <v>744.72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20"/>
      <c r="AP25" s="20">
        <f t="shared" si="5"/>
        <v>0</v>
      </c>
      <c r="AQ25" s="20"/>
      <c r="AR25" s="15"/>
      <c r="AS25" s="20">
        <f t="shared" si="6"/>
        <v>0</v>
      </c>
      <c r="AT25" s="19">
        <f t="shared" si="7"/>
        <v>642</v>
      </c>
      <c r="AU25" s="19">
        <f t="shared" si="8"/>
        <v>160.5</v>
      </c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</row>
    <row r="26" ht="15.75" customHeight="1">
      <c r="A26" s="15" t="s">
        <v>174</v>
      </c>
      <c r="B26" s="15">
        <v>20351.0</v>
      </c>
      <c r="C26" s="16" t="s">
        <v>46</v>
      </c>
      <c r="D26" s="15">
        <v>1000635.0</v>
      </c>
      <c r="E26" s="15" t="s">
        <v>175</v>
      </c>
      <c r="F26" s="15" t="s">
        <v>61</v>
      </c>
      <c r="G26" s="17" t="s">
        <v>6</v>
      </c>
      <c r="H26" s="15" t="s">
        <v>101</v>
      </c>
      <c r="I26" s="15" t="s">
        <v>166</v>
      </c>
      <c r="J26" s="15" t="s">
        <v>176</v>
      </c>
      <c r="K26" s="18">
        <v>45047.0</v>
      </c>
      <c r="L26" s="15" t="s">
        <v>120</v>
      </c>
      <c r="M26" s="15" t="s">
        <v>115</v>
      </c>
      <c r="N26" s="15">
        <v>115.0</v>
      </c>
      <c r="O26" s="25"/>
      <c r="P26" s="15">
        <v>6.0</v>
      </c>
      <c r="Q26" s="19">
        <f t="shared" si="12"/>
        <v>690</v>
      </c>
      <c r="R26" s="19"/>
      <c r="S26" s="19"/>
      <c r="T26" s="19">
        <v>107.58</v>
      </c>
      <c r="U26" s="19">
        <f t="shared" si="2"/>
        <v>797.58</v>
      </c>
      <c r="V26" s="19">
        <f t="shared" si="3"/>
        <v>127.6128</v>
      </c>
      <c r="W26" s="19">
        <f t="shared" si="4"/>
        <v>925.1928</v>
      </c>
      <c r="X26" s="25"/>
      <c r="Y26" s="25"/>
      <c r="Z26" s="25"/>
      <c r="AA26" s="25"/>
      <c r="AB26" s="25"/>
      <c r="AC26" s="25"/>
      <c r="AD26" s="22">
        <v>317170.0</v>
      </c>
      <c r="AE26" s="23" t="s">
        <v>84</v>
      </c>
      <c r="AF26" s="25"/>
      <c r="AG26" s="15">
        <v>1.11</v>
      </c>
      <c r="AH26" s="25"/>
      <c r="AI26" s="25"/>
      <c r="AJ26" s="25"/>
      <c r="AK26" s="25"/>
      <c r="AL26" s="25"/>
      <c r="AM26" s="25"/>
      <c r="AN26" s="25"/>
      <c r="AO26" s="20">
        <f t="shared" ref="AO26:AO37" si="13">U26*0.06</f>
        <v>47.8548</v>
      </c>
      <c r="AP26" s="20">
        <f t="shared" si="5"/>
        <v>11.9637</v>
      </c>
      <c r="AQ26" s="20"/>
      <c r="AR26" s="25"/>
      <c r="AS26" s="20">
        <f t="shared" si="6"/>
        <v>60.9285</v>
      </c>
      <c r="AT26" s="19">
        <f t="shared" si="7"/>
        <v>736.6515</v>
      </c>
      <c r="AU26" s="19">
        <f t="shared" si="8"/>
        <v>122.77525</v>
      </c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</row>
    <row r="27" ht="15.75" customHeight="1">
      <c r="A27" s="15" t="s">
        <v>177</v>
      </c>
      <c r="B27" s="15">
        <v>20337.0</v>
      </c>
      <c r="C27" s="16" t="s">
        <v>46</v>
      </c>
      <c r="D27" s="15">
        <v>2891.0</v>
      </c>
      <c r="E27" s="15" t="s">
        <v>178</v>
      </c>
      <c r="F27" s="15" t="s">
        <v>88</v>
      </c>
      <c r="G27" s="17" t="s">
        <v>6</v>
      </c>
      <c r="H27" s="15" t="s">
        <v>55</v>
      </c>
      <c r="I27" s="15" t="s">
        <v>114</v>
      </c>
      <c r="J27" s="15" t="s">
        <v>50</v>
      </c>
      <c r="K27" s="18">
        <v>44958.0</v>
      </c>
      <c r="L27" s="15" t="s">
        <v>74</v>
      </c>
      <c r="M27" s="15" t="s">
        <v>129</v>
      </c>
      <c r="N27" s="15">
        <v>53.0</v>
      </c>
      <c r="O27" s="25"/>
      <c r="P27" s="15">
        <v>3.0</v>
      </c>
      <c r="Q27" s="19">
        <f t="shared" si="12"/>
        <v>159</v>
      </c>
      <c r="R27" s="19"/>
      <c r="S27" s="19"/>
      <c r="T27" s="19"/>
      <c r="U27" s="19">
        <f t="shared" si="2"/>
        <v>159</v>
      </c>
      <c r="V27" s="19">
        <f t="shared" si="3"/>
        <v>25.44</v>
      </c>
      <c r="W27" s="19">
        <f t="shared" si="4"/>
        <v>184.44</v>
      </c>
      <c r="X27" s="25"/>
      <c r="Y27" s="25"/>
      <c r="Z27" s="25"/>
      <c r="AA27" s="25"/>
      <c r="AB27" s="25"/>
      <c r="AC27" s="25"/>
      <c r="AD27" s="25"/>
      <c r="AE27" s="25"/>
      <c r="AF27" s="25"/>
      <c r="AG27" s="15">
        <v>1.11</v>
      </c>
      <c r="AH27" s="25"/>
      <c r="AI27" s="25"/>
      <c r="AJ27" s="25"/>
      <c r="AK27" s="25"/>
      <c r="AL27" s="25"/>
      <c r="AM27" s="25"/>
      <c r="AN27" s="25"/>
      <c r="AO27" s="20">
        <f t="shared" si="13"/>
        <v>9.54</v>
      </c>
      <c r="AP27" s="20">
        <f t="shared" si="5"/>
        <v>2.385</v>
      </c>
      <c r="AQ27" s="20"/>
      <c r="AR27" s="25"/>
      <c r="AS27" s="20">
        <f t="shared" si="6"/>
        <v>13.035</v>
      </c>
      <c r="AT27" s="19">
        <f t="shared" si="7"/>
        <v>145.965</v>
      </c>
      <c r="AU27" s="19">
        <f t="shared" si="8"/>
        <v>48.655</v>
      </c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</row>
    <row r="28" ht="15.75" customHeight="1">
      <c r="A28" s="15" t="s">
        <v>179</v>
      </c>
      <c r="B28" s="15">
        <v>20316.0</v>
      </c>
      <c r="C28" s="16" t="s">
        <v>64</v>
      </c>
      <c r="D28" s="15">
        <v>2892.0</v>
      </c>
      <c r="E28" s="15" t="s">
        <v>180</v>
      </c>
      <c r="F28" s="15" t="s">
        <v>88</v>
      </c>
      <c r="G28" s="17" t="s">
        <v>6</v>
      </c>
      <c r="H28" s="15" t="s">
        <v>119</v>
      </c>
      <c r="I28" s="15" t="s">
        <v>114</v>
      </c>
      <c r="J28" s="15" t="s">
        <v>119</v>
      </c>
      <c r="K28" s="15" t="s">
        <v>181</v>
      </c>
      <c r="L28" s="15" t="s">
        <v>135</v>
      </c>
      <c r="M28" s="15" t="s">
        <v>182</v>
      </c>
      <c r="N28" s="15">
        <v>80.75</v>
      </c>
      <c r="O28" s="25"/>
      <c r="P28" s="15">
        <v>16.0</v>
      </c>
      <c r="Q28" s="19">
        <f t="shared" si="12"/>
        <v>1292</v>
      </c>
      <c r="R28" s="19"/>
      <c r="S28" s="19"/>
      <c r="T28" s="19"/>
      <c r="U28" s="19">
        <f t="shared" si="2"/>
        <v>1292</v>
      </c>
      <c r="V28" s="19">
        <f t="shared" si="3"/>
        <v>206.72</v>
      </c>
      <c r="W28" s="19">
        <f t="shared" si="4"/>
        <v>1498.72</v>
      </c>
      <c r="X28" s="25"/>
      <c r="Y28" s="25"/>
      <c r="Z28" s="25"/>
      <c r="AA28" s="25"/>
      <c r="AB28" s="25"/>
      <c r="AC28" s="25"/>
      <c r="AD28" s="25"/>
      <c r="AE28" s="25"/>
      <c r="AF28" s="15">
        <v>4.26</v>
      </c>
      <c r="AG28" s="15">
        <v>1.11</v>
      </c>
      <c r="AH28" s="25"/>
      <c r="AI28" s="15">
        <v>206.72</v>
      </c>
      <c r="AJ28" s="25"/>
      <c r="AK28" s="25"/>
      <c r="AL28" s="25"/>
      <c r="AM28" s="15">
        <v>18.734</v>
      </c>
      <c r="AN28" s="25"/>
      <c r="AO28" s="20">
        <f t="shared" si="13"/>
        <v>77.52</v>
      </c>
      <c r="AP28" s="20">
        <f t="shared" si="5"/>
        <v>19.38</v>
      </c>
      <c r="AQ28" s="20"/>
      <c r="AR28" s="25"/>
      <c r="AS28" s="20">
        <f t="shared" si="6"/>
        <v>327.724</v>
      </c>
      <c r="AT28" s="19">
        <f t="shared" si="7"/>
        <v>964.276</v>
      </c>
      <c r="AU28" s="19">
        <f t="shared" si="8"/>
        <v>60.26725</v>
      </c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</row>
    <row r="29" ht="15.75" customHeight="1">
      <c r="A29" s="15" t="s">
        <v>183</v>
      </c>
      <c r="B29" s="15">
        <v>20346.0</v>
      </c>
      <c r="C29" s="16" t="s">
        <v>46</v>
      </c>
      <c r="D29" s="15">
        <v>1000637.0</v>
      </c>
      <c r="E29" s="15" t="s">
        <v>184</v>
      </c>
      <c r="F29" s="15" t="s">
        <v>61</v>
      </c>
      <c r="G29" s="17" t="s">
        <v>6</v>
      </c>
      <c r="H29" s="15" t="s">
        <v>185</v>
      </c>
      <c r="I29" s="15" t="s">
        <v>114</v>
      </c>
      <c r="J29" s="15" t="s">
        <v>185</v>
      </c>
      <c r="K29" s="18">
        <v>45017.0</v>
      </c>
      <c r="L29" s="15" t="s">
        <v>96</v>
      </c>
      <c r="M29" s="15" t="s">
        <v>115</v>
      </c>
      <c r="N29" s="15">
        <v>110.0</v>
      </c>
      <c r="O29" s="15">
        <v>10.0</v>
      </c>
      <c r="P29" s="15">
        <v>4.0</v>
      </c>
      <c r="Q29" s="19">
        <f>N29*P29*0.9</f>
        <v>396</v>
      </c>
      <c r="R29" s="19"/>
      <c r="S29" s="19"/>
      <c r="T29" s="19"/>
      <c r="U29" s="19">
        <f t="shared" si="2"/>
        <v>396</v>
      </c>
      <c r="V29" s="19">
        <f t="shared" si="3"/>
        <v>63.36</v>
      </c>
      <c r="W29" s="19">
        <f t="shared" si="4"/>
        <v>459.36</v>
      </c>
      <c r="X29" s="25"/>
      <c r="Y29" s="15"/>
      <c r="Z29" s="21" t="s">
        <v>186</v>
      </c>
      <c r="AA29" s="25"/>
      <c r="AB29" s="25"/>
      <c r="AC29" s="15"/>
      <c r="AD29" s="22">
        <v>317170.0</v>
      </c>
      <c r="AE29" s="23" t="s">
        <v>84</v>
      </c>
      <c r="AF29" s="25"/>
      <c r="AG29" s="15">
        <v>1.11</v>
      </c>
      <c r="AH29" s="25"/>
      <c r="AI29" s="25"/>
      <c r="AJ29" s="25"/>
      <c r="AK29" s="25"/>
      <c r="AL29" s="25"/>
      <c r="AM29" s="25"/>
      <c r="AN29" s="25"/>
      <c r="AO29" s="20">
        <f t="shared" si="13"/>
        <v>23.76</v>
      </c>
      <c r="AP29" s="20">
        <f t="shared" si="5"/>
        <v>5.94</v>
      </c>
      <c r="AQ29" s="20"/>
      <c r="AR29" s="25"/>
      <c r="AS29" s="20">
        <f t="shared" si="6"/>
        <v>30.81</v>
      </c>
      <c r="AT29" s="19">
        <f t="shared" si="7"/>
        <v>365.19</v>
      </c>
      <c r="AU29" s="19">
        <f t="shared" si="8"/>
        <v>91.2975</v>
      </c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</row>
    <row r="30" ht="15.75" customHeight="1">
      <c r="A30" s="15" t="s">
        <v>187</v>
      </c>
      <c r="B30" s="15">
        <v>20348.0</v>
      </c>
      <c r="C30" s="16" t="s">
        <v>46</v>
      </c>
      <c r="D30" s="15">
        <v>1000638.0</v>
      </c>
      <c r="E30" s="15" t="s">
        <v>188</v>
      </c>
      <c r="F30" s="15" t="s">
        <v>61</v>
      </c>
      <c r="G30" s="17" t="s">
        <v>6</v>
      </c>
      <c r="H30" s="15" t="s">
        <v>62</v>
      </c>
      <c r="I30" s="18">
        <v>44927.0</v>
      </c>
      <c r="J30" s="15" t="s">
        <v>101</v>
      </c>
      <c r="K30" s="18">
        <v>44927.0</v>
      </c>
      <c r="L30" s="15" t="s">
        <v>159</v>
      </c>
      <c r="M30" s="15" t="s">
        <v>115</v>
      </c>
      <c r="N30" s="15">
        <v>230.0</v>
      </c>
      <c r="O30" s="25"/>
      <c r="P30" s="15">
        <v>1.0</v>
      </c>
      <c r="Q30" s="19">
        <f t="shared" ref="Q30:Q50" si="14">N30*P30</f>
        <v>230</v>
      </c>
      <c r="R30" s="19"/>
      <c r="S30" s="19"/>
      <c r="T30" s="19"/>
      <c r="U30" s="19">
        <f t="shared" si="2"/>
        <v>230</v>
      </c>
      <c r="V30" s="19">
        <f t="shared" si="3"/>
        <v>36.8</v>
      </c>
      <c r="W30" s="19">
        <f t="shared" si="4"/>
        <v>266.8</v>
      </c>
      <c r="X30" s="25"/>
      <c r="Y30" s="15">
        <v>4.1466738E7</v>
      </c>
      <c r="Z30" s="21" t="s">
        <v>189</v>
      </c>
      <c r="AA30" s="25"/>
      <c r="AB30" s="25"/>
      <c r="AC30" s="15"/>
      <c r="AD30" s="22">
        <v>317170.0</v>
      </c>
      <c r="AE30" s="23" t="s">
        <v>84</v>
      </c>
      <c r="AF30" s="25"/>
      <c r="AG30" s="15">
        <v>1.11</v>
      </c>
      <c r="AH30" s="25"/>
      <c r="AI30" s="25"/>
      <c r="AJ30" s="25"/>
      <c r="AK30" s="25"/>
      <c r="AL30" s="25"/>
      <c r="AM30" s="25"/>
      <c r="AN30" s="25"/>
      <c r="AO30" s="20">
        <f t="shared" si="13"/>
        <v>13.8</v>
      </c>
      <c r="AP30" s="20">
        <f t="shared" si="5"/>
        <v>3.45</v>
      </c>
      <c r="AQ30" s="20"/>
      <c r="AR30" s="25"/>
      <c r="AS30" s="20">
        <f t="shared" si="6"/>
        <v>18.36</v>
      </c>
      <c r="AT30" s="19">
        <f t="shared" si="7"/>
        <v>211.64</v>
      </c>
      <c r="AU30" s="19">
        <f t="shared" si="8"/>
        <v>211.64</v>
      </c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</row>
    <row r="31" ht="15.75" customHeight="1">
      <c r="A31" s="15" t="s">
        <v>190</v>
      </c>
      <c r="B31" s="15">
        <v>20363.0</v>
      </c>
      <c r="C31" s="16" t="s">
        <v>46</v>
      </c>
      <c r="D31" s="15">
        <v>1000578.0</v>
      </c>
      <c r="E31" s="15" t="s">
        <v>191</v>
      </c>
      <c r="F31" s="15" t="s">
        <v>61</v>
      </c>
      <c r="G31" s="17" t="s">
        <v>6</v>
      </c>
      <c r="H31" s="15" t="s">
        <v>192</v>
      </c>
      <c r="I31" s="18">
        <v>44927.0</v>
      </c>
      <c r="J31" s="15" t="s">
        <v>193</v>
      </c>
      <c r="K31" s="18">
        <v>45078.0</v>
      </c>
      <c r="L31" s="15" t="s">
        <v>96</v>
      </c>
      <c r="M31" s="15" t="s">
        <v>182</v>
      </c>
      <c r="N31" s="15">
        <v>104.5</v>
      </c>
      <c r="O31" s="25"/>
      <c r="P31" s="15">
        <v>14.0</v>
      </c>
      <c r="Q31" s="19">
        <f t="shared" si="14"/>
        <v>1463</v>
      </c>
      <c r="R31" s="19"/>
      <c r="S31" s="19"/>
      <c r="T31" s="19">
        <v>2299.0</v>
      </c>
      <c r="U31" s="19">
        <f t="shared" si="2"/>
        <v>3762</v>
      </c>
      <c r="V31" s="19">
        <f t="shared" si="3"/>
        <v>601.92</v>
      </c>
      <c r="W31" s="19">
        <f t="shared" si="4"/>
        <v>4363.92</v>
      </c>
      <c r="X31" s="25"/>
      <c r="Y31" s="15">
        <v>6.8736043E7</v>
      </c>
      <c r="Z31" s="21" t="s">
        <v>194</v>
      </c>
      <c r="AA31" s="25"/>
      <c r="AB31" s="25"/>
      <c r="AC31" s="15" t="s">
        <v>195</v>
      </c>
      <c r="AD31" s="25"/>
      <c r="AE31" s="25"/>
      <c r="AF31" s="15">
        <v>4.26</v>
      </c>
      <c r="AG31" s="15">
        <v>1.11</v>
      </c>
      <c r="AH31" s="25"/>
      <c r="AI31" s="15">
        <v>336.49</v>
      </c>
      <c r="AJ31" s="25"/>
      <c r="AK31" s="25"/>
      <c r="AL31" s="25"/>
      <c r="AM31" s="25"/>
      <c r="AN31" s="25"/>
      <c r="AO31" s="20">
        <f t="shared" si="13"/>
        <v>225.72</v>
      </c>
      <c r="AP31" s="20">
        <f t="shared" si="5"/>
        <v>56.43</v>
      </c>
      <c r="AQ31" s="20"/>
      <c r="AR31" s="25"/>
      <c r="AS31" s="20">
        <f t="shared" si="6"/>
        <v>624.01</v>
      </c>
      <c r="AT31" s="19">
        <f t="shared" si="7"/>
        <v>3137.99</v>
      </c>
      <c r="AU31" s="19">
        <f t="shared" si="8"/>
        <v>224.1421429</v>
      </c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</row>
    <row r="32" ht="15.75" customHeight="1">
      <c r="A32" s="15" t="s">
        <v>196</v>
      </c>
      <c r="B32" s="15">
        <v>20362.0</v>
      </c>
      <c r="C32" s="16" t="s">
        <v>46</v>
      </c>
      <c r="D32" s="15">
        <v>1000639.0</v>
      </c>
      <c r="E32" s="15" t="s">
        <v>127</v>
      </c>
      <c r="F32" s="15" t="s">
        <v>61</v>
      </c>
      <c r="G32" s="17" t="s">
        <v>6</v>
      </c>
      <c r="H32" s="15" t="s">
        <v>145</v>
      </c>
      <c r="I32" s="18">
        <v>44958.0</v>
      </c>
      <c r="J32" s="15" t="s">
        <v>197</v>
      </c>
      <c r="K32" s="18">
        <v>45108.0</v>
      </c>
      <c r="L32" s="15" t="s">
        <v>96</v>
      </c>
      <c r="M32" s="15" t="s">
        <v>115</v>
      </c>
      <c r="N32" s="15">
        <v>110.0</v>
      </c>
      <c r="O32" s="25"/>
      <c r="P32" s="15">
        <v>6.0</v>
      </c>
      <c r="Q32" s="19">
        <f t="shared" si="14"/>
        <v>660</v>
      </c>
      <c r="R32" s="19"/>
      <c r="S32" s="19"/>
      <c r="T32" s="19">
        <v>18.0</v>
      </c>
      <c r="U32" s="19">
        <f t="shared" si="2"/>
        <v>678</v>
      </c>
      <c r="V32" s="19">
        <f t="shared" si="3"/>
        <v>108.48</v>
      </c>
      <c r="W32" s="19">
        <f t="shared" si="4"/>
        <v>786.48</v>
      </c>
      <c r="X32" s="25"/>
      <c r="Y32" s="25"/>
      <c r="Z32" s="25"/>
      <c r="AA32" s="25"/>
      <c r="AB32" s="25"/>
      <c r="AC32" s="25"/>
      <c r="AD32" s="25"/>
      <c r="AE32" s="25"/>
      <c r="AF32" s="15">
        <v>4.4</v>
      </c>
      <c r="AG32" s="15">
        <v>1.11</v>
      </c>
      <c r="AH32" s="25"/>
      <c r="AI32" s="15">
        <v>105.6</v>
      </c>
      <c r="AJ32" s="25"/>
      <c r="AK32" s="25"/>
      <c r="AL32" s="25"/>
      <c r="AM32" s="15">
        <v>9.57</v>
      </c>
      <c r="AN32" s="25"/>
      <c r="AO32" s="20">
        <f t="shared" si="13"/>
        <v>40.68</v>
      </c>
      <c r="AP32" s="20">
        <f t="shared" si="5"/>
        <v>10.17</v>
      </c>
      <c r="AQ32" s="20"/>
      <c r="AR32" s="25"/>
      <c r="AS32" s="20">
        <f t="shared" si="6"/>
        <v>171.53</v>
      </c>
      <c r="AT32" s="19">
        <f t="shared" si="7"/>
        <v>506.47</v>
      </c>
      <c r="AU32" s="19">
        <f t="shared" si="8"/>
        <v>84.41166667</v>
      </c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</row>
    <row r="33" ht="15.75" customHeight="1">
      <c r="A33" s="15" t="s">
        <v>198</v>
      </c>
      <c r="B33" s="15">
        <v>20402.0</v>
      </c>
      <c r="C33" s="16" t="s">
        <v>92</v>
      </c>
      <c r="D33" s="15">
        <v>1000640.0</v>
      </c>
      <c r="E33" s="15" t="s">
        <v>178</v>
      </c>
      <c r="F33" s="15" t="s">
        <v>61</v>
      </c>
      <c r="G33" s="17" t="s">
        <v>6</v>
      </c>
      <c r="H33" s="15" t="s">
        <v>73</v>
      </c>
      <c r="I33" s="18">
        <v>44958.0</v>
      </c>
      <c r="J33" s="15" t="s">
        <v>73</v>
      </c>
      <c r="K33" s="18">
        <v>45261.0</v>
      </c>
      <c r="L33" s="15" t="s">
        <v>74</v>
      </c>
      <c r="M33" s="15" t="s">
        <v>140</v>
      </c>
      <c r="N33" s="15">
        <v>51.68</v>
      </c>
      <c r="O33" s="15"/>
      <c r="P33" s="15">
        <v>10.0</v>
      </c>
      <c r="Q33" s="19">
        <f t="shared" si="14"/>
        <v>516.8</v>
      </c>
      <c r="R33" s="19"/>
      <c r="S33" s="19"/>
      <c r="T33" s="19"/>
      <c r="U33" s="19">
        <f t="shared" si="2"/>
        <v>516.8</v>
      </c>
      <c r="V33" s="19">
        <f t="shared" si="3"/>
        <v>82.688</v>
      </c>
      <c r="W33" s="19">
        <f t="shared" si="4"/>
        <v>599.488</v>
      </c>
      <c r="X33" s="15"/>
      <c r="Y33" s="15"/>
      <c r="Z33" s="21" t="s">
        <v>67</v>
      </c>
      <c r="AA33" s="15">
        <v>198795.0</v>
      </c>
      <c r="AB33" s="15">
        <v>2.64309999995E11</v>
      </c>
      <c r="AC33" s="15"/>
      <c r="AD33" s="15"/>
      <c r="AE33" s="15"/>
      <c r="AF33" s="15"/>
      <c r="AG33" s="15">
        <v>19.36</v>
      </c>
      <c r="AH33" s="15"/>
      <c r="AI33" s="15"/>
      <c r="AJ33" s="15"/>
      <c r="AK33" s="15"/>
      <c r="AL33" s="15"/>
      <c r="AM33" s="15"/>
      <c r="AN33" s="15"/>
      <c r="AO33" s="20">
        <f t="shared" si="13"/>
        <v>31.008</v>
      </c>
      <c r="AP33" s="20">
        <f t="shared" si="5"/>
        <v>7.752</v>
      </c>
      <c r="AQ33" s="20">
        <f>W33*0.04</f>
        <v>23.97952</v>
      </c>
      <c r="AR33" s="15">
        <v>80.15</v>
      </c>
      <c r="AS33" s="20">
        <f t="shared" si="6"/>
        <v>162.24952</v>
      </c>
      <c r="AT33" s="19">
        <f t="shared" si="7"/>
        <v>354.55048</v>
      </c>
      <c r="AU33" s="19">
        <f t="shared" si="8"/>
        <v>35.455048</v>
      </c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</row>
    <row r="34" ht="15.75" customHeight="1">
      <c r="A34" s="15" t="s">
        <v>199</v>
      </c>
      <c r="B34" s="15">
        <v>20349.0</v>
      </c>
      <c r="C34" s="16" t="s">
        <v>46</v>
      </c>
      <c r="D34" s="15">
        <v>2897.0</v>
      </c>
      <c r="E34" s="15" t="s">
        <v>200</v>
      </c>
      <c r="F34" s="15" t="s">
        <v>88</v>
      </c>
      <c r="G34" s="17" t="s">
        <v>6</v>
      </c>
      <c r="H34" s="15" t="s">
        <v>201</v>
      </c>
      <c r="I34" s="18">
        <v>44958.0</v>
      </c>
      <c r="J34" s="15" t="s">
        <v>201</v>
      </c>
      <c r="K34" s="18">
        <v>45078.0</v>
      </c>
      <c r="L34" s="15" t="s">
        <v>96</v>
      </c>
      <c r="M34" s="15" t="s">
        <v>173</v>
      </c>
      <c r="N34" s="15">
        <v>110.0</v>
      </c>
      <c r="O34" s="15"/>
      <c r="P34" s="15">
        <v>4.0</v>
      </c>
      <c r="Q34" s="19">
        <f t="shared" si="14"/>
        <v>440</v>
      </c>
      <c r="R34" s="19"/>
      <c r="S34" s="19"/>
      <c r="T34" s="19"/>
      <c r="U34" s="19">
        <f t="shared" si="2"/>
        <v>440</v>
      </c>
      <c r="V34" s="19">
        <f t="shared" si="3"/>
        <v>70.4</v>
      </c>
      <c r="W34" s="19">
        <f t="shared" si="4"/>
        <v>510.4</v>
      </c>
      <c r="X34" s="15"/>
      <c r="Y34" s="15"/>
      <c r="Z34" s="15"/>
      <c r="AA34" s="15"/>
      <c r="AB34" s="15"/>
      <c r="AC34" s="15"/>
      <c r="AD34" s="22"/>
      <c r="AE34" s="23"/>
      <c r="AF34" s="15"/>
      <c r="AG34" s="15">
        <v>1.11</v>
      </c>
      <c r="AH34" s="15"/>
      <c r="AI34" s="15"/>
      <c r="AJ34" s="15"/>
      <c r="AK34" s="15"/>
      <c r="AL34" s="15"/>
      <c r="AM34" s="15"/>
      <c r="AN34" s="15"/>
      <c r="AO34" s="20">
        <f t="shared" si="13"/>
        <v>26.4</v>
      </c>
      <c r="AP34" s="20">
        <f t="shared" si="5"/>
        <v>6.6</v>
      </c>
      <c r="AQ34" s="20"/>
      <c r="AR34" s="15"/>
      <c r="AS34" s="20">
        <f t="shared" si="6"/>
        <v>34.11</v>
      </c>
      <c r="AT34" s="19">
        <f t="shared" si="7"/>
        <v>405.89</v>
      </c>
      <c r="AU34" s="19">
        <f t="shared" si="8"/>
        <v>101.4725</v>
      </c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</row>
    <row r="35" ht="15.75" customHeight="1">
      <c r="A35" s="15" t="s">
        <v>202</v>
      </c>
      <c r="B35" s="15">
        <v>20400.0</v>
      </c>
      <c r="C35" s="16" t="s">
        <v>92</v>
      </c>
      <c r="D35" s="15">
        <v>1000641.0</v>
      </c>
      <c r="E35" s="15" t="s">
        <v>180</v>
      </c>
      <c r="F35" s="15" t="s">
        <v>61</v>
      </c>
      <c r="G35" s="17" t="s">
        <v>6</v>
      </c>
      <c r="H35" s="15" t="s">
        <v>101</v>
      </c>
      <c r="I35" s="18">
        <v>44958.0</v>
      </c>
      <c r="J35" s="15" t="s">
        <v>101</v>
      </c>
      <c r="K35" s="18">
        <v>45261.0</v>
      </c>
      <c r="L35" s="15" t="s">
        <v>135</v>
      </c>
      <c r="M35" s="15" t="s">
        <v>109</v>
      </c>
      <c r="N35" s="15">
        <v>82.88</v>
      </c>
      <c r="O35" s="15"/>
      <c r="P35" s="15">
        <v>10.0</v>
      </c>
      <c r="Q35" s="19">
        <f t="shared" si="14"/>
        <v>828.8</v>
      </c>
      <c r="R35" s="19"/>
      <c r="S35" s="19"/>
      <c r="T35" s="19"/>
      <c r="U35" s="19">
        <f t="shared" si="2"/>
        <v>828.8</v>
      </c>
      <c r="V35" s="19">
        <f t="shared" si="3"/>
        <v>132.608</v>
      </c>
      <c r="W35" s="19">
        <f t="shared" si="4"/>
        <v>961.408</v>
      </c>
      <c r="X35" s="15"/>
      <c r="Y35" s="15"/>
      <c r="Z35" s="21" t="s">
        <v>203</v>
      </c>
      <c r="AA35" s="15">
        <v>7.0144288E7</v>
      </c>
      <c r="AB35" s="21" t="s">
        <v>204</v>
      </c>
      <c r="AC35" s="15"/>
      <c r="AD35" s="22">
        <v>5.7206155E7</v>
      </c>
      <c r="AE35" s="23" t="s">
        <v>205</v>
      </c>
      <c r="AF35" s="15">
        <v>4.4</v>
      </c>
      <c r="AG35" s="15">
        <v>1.11</v>
      </c>
      <c r="AH35" s="15"/>
      <c r="AI35" s="15"/>
      <c r="AJ35" s="15"/>
      <c r="AK35" s="15"/>
      <c r="AL35" s="15">
        <v>1.18</v>
      </c>
      <c r="AM35" s="15"/>
      <c r="AN35" s="15"/>
      <c r="AO35" s="20">
        <f t="shared" si="13"/>
        <v>49.728</v>
      </c>
      <c r="AP35" s="20">
        <f t="shared" si="5"/>
        <v>12.432</v>
      </c>
      <c r="AQ35" s="20">
        <f>W35*0.04</f>
        <v>38.45632</v>
      </c>
      <c r="AR35" s="15"/>
      <c r="AS35" s="20">
        <f t="shared" si="6"/>
        <v>107.30632</v>
      </c>
      <c r="AT35" s="19">
        <f t="shared" si="7"/>
        <v>721.49368</v>
      </c>
      <c r="AU35" s="19">
        <f t="shared" si="8"/>
        <v>72.149368</v>
      </c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</row>
    <row r="36" ht="15.75" customHeight="1">
      <c r="A36" s="15" t="s">
        <v>206</v>
      </c>
      <c r="B36" s="15">
        <v>20303.0</v>
      </c>
      <c r="C36" s="16" t="s">
        <v>181</v>
      </c>
      <c r="D36" s="15">
        <v>1000645.0</v>
      </c>
      <c r="E36" s="15" t="s">
        <v>207</v>
      </c>
      <c r="F36" s="15" t="s">
        <v>61</v>
      </c>
      <c r="G36" s="17" t="s">
        <v>6</v>
      </c>
      <c r="H36" s="15" t="s">
        <v>208</v>
      </c>
      <c r="I36" s="18">
        <v>44986.0</v>
      </c>
      <c r="J36" s="15" t="s">
        <v>209</v>
      </c>
      <c r="K36" s="18">
        <v>45017.0</v>
      </c>
      <c r="L36" s="15" t="s">
        <v>74</v>
      </c>
      <c r="M36" s="15" t="s">
        <v>115</v>
      </c>
      <c r="N36" s="15">
        <v>53.0</v>
      </c>
      <c r="O36" s="25"/>
      <c r="P36" s="15">
        <v>2.0</v>
      </c>
      <c r="Q36" s="19">
        <f t="shared" si="14"/>
        <v>106</v>
      </c>
      <c r="R36" s="19">
        <v>27.18</v>
      </c>
      <c r="S36" s="19">
        <v>2.28</v>
      </c>
      <c r="T36" s="19">
        <v>20.0</v>
      </c>
      <c r="U36" s="19">
        <f t="shared" si="2"/>
        <v>155.46</v>
      </c>
      <c r="V36" s="19">
        <f t="shared" si="3"/>
        <v>22.3344</v>
      </c>
      <c r="W36" s="19">
        <f t="shared" si="4"/>
        <v>177.7944</v>
      </c>
      <c r="X36" s="25"/>
      <c r="Y36" s="25"/>
      <c r="Z36" s="25"/>
      <c r="AA36" s="25"/>
      <c r="AB36" s="25"/>
      <c r="AC36" s="25"/>
      <c r="AD36" s="25"/>
      <c r="AE36" s="25"/>
      <c r="AF36" s="15">
        <v>2.75</v>
      </c>
      <c r="AG36" s="15">
        <v>1.11</v>
      </c>
      <c r="AH36" s="25"/>
      <c r="AI36" s="15">
        <v>9.54</v>
      </c>
      <c r="AJ36" s="15">
        <v>1.06</v>
      </c>
      <c r="AK36" s="25"/>
      <c r="AL36" s="25"/>
      <c r="AM36" s="25"/>
      <c r="AN36" s="25"/>
      <c r="AO36" s="20">
        <f t="shared" si="13"/>
        <v>9.3276</v>
      </c>
      <c r="AP36" s="20">
        <f t="shared" si="5"/>
        <v>2.3319</v>
      </c>
      <c r="AQ36" s="20"/>
      <c r="AR36" s="25"/>
      <c r="AS36" s="20">
        <f t="shared" si="6"/>
        <v>26.1195</v>
      </c>
      <c r="AT36" s="19">
        <f t="shared" si="7"/>
        <v>129.3405</v>
      </c>
      <c r="AU36" s="19">
        <f t="shared" si="8"/>
        <v>64.67025</v>
      </c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</row>
    <row r="37" ht="15.75" customHeight="1">
      <c r="A37" s="15" t="s">
        <v>210</v>
      </c>
      <c r="B37" s="15">
        <v>20274.0</v>
      </c>
      <c r="C37" s="24">
        <v>45261.0</v>
      </c>
      <c r="D37" s="15">
        <v>1000644.0</v>
      </c>
      <c r="E37" s="15" t="s">
        <v>211</v>
      </c>
      <c r="F37" s="15" t="s">
        <v>61</v>
      </c>
      <c r="G37" s="17" t="s">
        <v>6</v>
      </c>
      <c r="H37" s="15" t="s">
        <v>212</v>
      </c>
      <c r="I37" s="18">
        <v>44986.0</v>
      </c>
      <c r="J37" s="15" t="s">
        <v>185</v>
      </c>
      <c r="K37" s="18">
        <v>45047.0</v>
      </c>
      <c r="L37" s="15" t="s">
        <v>96</v>
      </c>
      <c r="M37" s="15" t="s">
        <v>129</v>
      </c>
      <c r="N37" s="15">
        <v>110.0</v>
      </c>
      <c r="O37" s="25"/>
      <c r="P37" s="15">
        <v>3.0</v>
      </c>
      <c r="Q37" s="19">
        <f t="shared" si="14"/>
        <v>330</v>
      </c>
      <c r="R37" s="19">
        <v>34.55</v>
      </c>
      <c r="S37" s="19">
        <v>1.21</v>
      </c>
      <c r="T37" s="19">
        <v>65.0</v>
      </c>
      <c r="U37" s="19">
        <f t="shared" si="2"/>
        <v>430.76</v>
      </c>
      <c r="V37" s="19">
        <f t="shared" si="3"/>
        <v>65.964</v>
      </c>
      <c r="W37" s="19">
        <f t="shared" si="4"/>
        <v>496.724</v>
      </c>
      <c r="X37" s="25"/>
      <c r="Y37" s="25"/>
      <c r="Z37" s="25"/>
      <c r="AA37" s="25"/>
      <c r="AB37" s="25"/>
      <c r="AC37" s="25"/>
      <c r="AD37" s="25"/>
      <c r="AE37" s="25"/>
      <c r="AF37" s="25"/>
      <c r="AG37" s="15">
        <v>1.11</v>
      </c>
      <c r="AH37" s="25"/>
      <c r="AI37" s="25"/>
      <c r="AJ37" s="25"/>
      <c r="AK37" s="15">
        <v>19.8</v>
      </c>
      <c r="AL37" s="25"/>
      <c r="AM37" s="25"/>
      <c r="AN37" s="25"/>
      <c r="AO37" s="20">
        <f t="shared" si="13"/>
        <v>25.8456</v>
      </c>
      <c r="AP37" s="20">
        <f t="shared" si="5"/>
        <v>6.4614</v>
      </c>
      <c r="AQ37" s="20"/>
      <c r="AR37" s="25"/>
      <c r="AS37" s="20">
        <f t="shared" si="6"/>
        <v>53.217</v>
      </c>
      <c r="AT37" s="19">
        <f t="shared" si="7"/>
        <v>377.543</v>
      </c>
      <c r="AU37" s="19">
        <f t="shared" si="8"/>
        <v>125.8476667</v>
      </c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</row>
    <row r="38" ht="15.75" customHeight="1">
      <c r="A38" s="15" t="s">
        <v>53</v>
      </c>
      <c r="B38" s="15">
        <v>20360.0</v>
      </c>
      <c r="C38" s="16" t="s">
        <v>46</v>
      </c>
      <c r="D38" s="15">
        <v>1000642.0</v>
      </c>
      <c r="E38" s="15" t="s">
        <v>213</v>
      </c>
      <c r="F38" s="15" t="s">
        <v>61</v>
      </c>
      <c r="G38" s="17" t="s">
        <v>6</v>
      </c>
      <c r="H38" s="15" t="s">
        <v>90</v>
      </c>
      <c r="I38" s="18">
        <v>44986.0</v>
      </c>
      <c r="J38" s="15" t="s">
        <v>90</v>
      </c>
      <c r="K38" s="18">
        <v>45108.0</v>
      </c>
      <c r="L38" s="15" t="s">
        <v>51</v>
      </c>
      <c r="M38" s="15" t="s">
        <v>173</v>
      </c>
      <c r="N38" s="15">
        <v>150.0</v>
      </c>
      <c r="O38" s="15"/>
      <c r="P38" s="15">
        <v>5.0</v>
      </c>
      <c r="Q38" s="19">
        <f t="shared" si="14"/>
        <v>750</v>
      </c>
      <c r="R38" s="19"/>
      <c r="S38" s="19"/>
      <c r="T38" s="19"/>
      <c r="U38" s="19">
        <f t="shared" si="2"/>
        <v>750</v>
      </c>
      <c r="V38" s="19">
        <f t="shared" si="3"/>
        <v>120</v>
      </c>
      <c r="W38" s="19">
        <f t="shared" si="4"/>
        <v>870</v>
      </c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20"/>
      <c r="AP38" s="20">
        <f t="shared" si="5"/>
        <v>0</v>
      </c>
      <c r="AQ38" s="20"/>
      <c r="AR38" s="15"/>
      <c r="AS38" s="20">
        <f t="shared" si="6"/>
        <v>0</v>
      </c>
      <c r="AT38" s="19">
        <f t="shared" si="7"/>
        <v>750</v>
      </c>
      <c r="AU38" s="19">
        <f t="shared" si="8"/>
        <v>150</v>
      </c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</row>
    <row r="39" ht="15.75" customHeight="1">
      <c r="A39" s="15" t="s">
        <v>214</v>
      </c>
      <c r="B39" s="15">
        <v>20355.0</v>
      </c>
      <c r="C39" s="16" t="s">
        <v>46</v>
      </c>
      <c r="D39" s="15">
        <v>2894.0</v>
      </c>
      <c r="E39" s="15" t="s">
        <v>215</v>
      </c>
      <c r="F39" s="15" t="s">
        <v>88</v>
      </c>
      <c r="G39" s="17" t="s">
        <v>6</v>
      </c>
      <c r="H39" s="15" t="s">
        <v>62</v>
      </c>
      <c r="I39" s="18">
        <v>45017.0</v>
      </c>
      <c r="J39" s="15" t="s">
        <v>216</v>
      </c>
      <c r="K39" s="18">
        <v>45139.0</v>
      </c>
      <c r="L39" s="15" t="s">
        <v>65</v>
      </c>
      <c r="M39" s="15" t="s">
        <v>173</v>
      </c>
      <c r="N39" s="15">
        <v>110.0</v>
      </c>
      <c r="O39" s="25"/>
      <c r="P39" s="15">
        <v>5.0</v>
      </c>
      <c r="Q39" s="19">
        <f t="shared" si="14"/>
        <v>550</v>
      </c>
      <c r="R39" s="19"/>
      <c r="S39" s="19"/>
      <c r="T39" s="19"/>
      <c r="U39" s="19">
        <f t="shared" si="2"/>
        <v>550</v>
      </c>
      <c r="V39" s="19">
        <f t="shared" si="3"/>
        <v>88</v>
      </c>
      <c r="W39" s="19">
        <f t="shared" si="4"/>
        <v>638</v>
      </c>
      <c r="X39" s="25"/>
      <c r="Y39" s="25"/>
      <c r="Z39" s="25"/>
      <c r="AA39" s="25"/>
      <c r="AB39" s="25"/>
      <c r="AC39" s="25"/>
      <c r="AD39" s="25"/>
      <c r="AE39" s="25"/>
      <c r="AF39" s="25"/>
      <c r="AG39" s="15">
        <v>1.11</v>
      </c>
      <c r="AH39" s="25"/>
      <c r="AI39" s="25"/>
      <c r="AJ39" s="25"/>
      <c r="AK39" s="25"/>
      <c r="AL39" s="25"/>
      <c r="AM39" s="25"/>
      <c r="AN39" s="25"/>
      <c r="AO39" s="20">
        <f t="shared" ref="AO39:AO56" si="15">U39*0.06</f>
        <v>33</v>
      </c>
      <c r="AP39" s="20">
        <f t="shared" si="5"/>
        <v>8.25</v>
      </c>
      <c r="AQ39" s="20"/>
      <c r="AR39" s="25"/>
      <c r="AS39" s="20">
        <f t="shared" si="6"/>
        <v>42.36</v>
      </c>
      <c r="AT39" s="19">
        <f t="shared" si="7"/>
        <v>507.64</v>
      </c>
      <c r="AU39" s="19">
        <f t="shared" si="8"/>
        <v>101.528</v>
      </c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</row>
    <row r="40" ht="15.75" customHeight="1">
      <c r="A40" s="15" t="s">
        <v>217</v>
      </c>
      <c r="B40" s="15">
        <v>20359.0</v>
      </c>
      <c r="C40" s="16" t="s">
        <v>46</v>
      </c>
      <c r="D40" s="15">
        <v>1000643.0</v>
      </c>
      <c r="E40" s="15" t="s">
        <v>178</v>
      </c>
      <c r="F40" s="15" t="s">
        <v>61</v>
      </c>
      <c r="G40" s="17" t="s">
        <v>6</v>
      </c>
      <c r="H40" s="15" t="s">
        <v>128</v>
      </c>
      <c r="I40" s="18">
        <v>45017.0</v>
      </c>
      <c r="J40" s="15" t="s">
        <v>128</v>
      </c>
      <c r="K40" s="18">
        <v>45139.0</v>
      </c>
      <c r="L40" s="15" t="s">
        <v>74</v>
      </c>
      <c r="M40" s="15" t="s">
        <v>218</v>
      </c>
      <c r="N40" s="15">
        <v>53.0</v>
      </c>
      <c r="O40" s="15"/>
      <c r="P40" s="15">
        <v>4.0</v>
      </c>
      <c r="Q40" s="19">
        <f t="shared" si="14"/>
        <v>212</v>
      </c>
      <c r="R40" s="19"/>
      <c r="S40" s="19"/>
      <c r="T40" s="19"/>
      <c r="U40" s="19">
        <f t="shared" si="2"/>
        <v>212</v>
      </c>
      <c r="V40" s="19">
        <f t="shared" si="3"/>
        <v>33.92</v>
      </c>
      <c r="W40" s="19">
        <f t="shared" si="4"/>
        <v>245.92</v>
      </c>
      <c r="X40" s="15"/>
      <c r="Y40" s="15"/>
      <c r="Z40" s="21" t="s">
        <v>67</v>
      </c>
      <c r="AA40" s="15">
        <v>172228.0</v>
      </c>
      <c r="AB40" s="15">
        <v>2.64309999995E11</v>
      </c>
      <c r="AC40" s="15"/>
      <c r="AD40" s="22">
        <v>85665.0</v>
      </c>
      <c r="AE40" s="23" t="s">
        <v>68</v>
      </c>
      <c r="AF40" s="15"/>
      <c r="AG40" s="15">
        <v>1.11</v>
      </c>
      <c r="AH40" s="15"/>
      <c r="AI40" s="15"/>
      <c r="AJ40" s="15"/>
      <c r="AK40" s="15"/>
      <c r="AL40" s="15"/>
      <c r="AM40" s="15"/>
      <c r="AN40" s="15"/>
      <c r="AO40" s="20">
        <f t="shared" si="15"/>
        <v>12.72</v>
      </c>
      <c r="AP40" s="20">
        <f t="shared" si="5"/>
        <v>3.18</v>
      </c>
      <c r="AQ40" s="20">
        <f>W40*0.04</f>
        <v>9.8368</v>
      </c>
      <c r="AR40" s="15">
        <v>24.32</v>
      </c>
      <c r="AS40" s="20">
        <f t="shared" si="6"/>
        <v>51.1668</v>
      </c>
      <c r="AT40" s="19">
        <f t="shared" si="7"/>
        <v>160.8332</v>
      </c>
      <c r="AU40" s="19">
        <f t="shared" si="8"/>
        <v>40.2083</v>
      </c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</row>
    <row r="41" ht="15.75" customHeight="1">
      <c r="A41" s="15" t="s">
        <v>219</v>
      </c>
      <c r="B41" s="15">
        <v>20397.0</v>
      </c>
      <c r="C41" s="16" t="s">
        <v>92</v>
      </c>
      <c r="D41" s="15">
        <v>1000647.0</v>
      </c>
      <c r="E41" s="15" t="s">
        <v>220</v>
      </c>
      <c r="F41" s="15" t="s">
        <v>61</v>
      </c>
      <c r="G41" s="17" t="s">
        <v>6</v>
      </c>
      <c r="H41" s="15" t="s">
        <v>128</v>
      </c>
      <c r="I41" s="18">
        <v>45047.0</v>
      </c>
      <c r="J41" s="15" t="s">
        <v>128</v>
      </c>
      <c r="K41" s="18">
        <v>45139.0</v>
      </c>
      <c r="L41" s="15" t="s">
        <v>135</v>
      </c>
      <c r="M41" s="15" t="s">
        <v>129</v>
      </c>
      <c r="N41" s="15">
        <v>85.0</v>
      </c>
      <c r="O41" s="15"/>
      <c r="P41" s="15">
        <v>3.0</v>
      </c>
      <c r="Q41" s="19">
        <f t="shared" si="14"/>
        <v>255</v>
      </c>
      <c r="R41" s="19">
        <v>15.83</v>
      </c>
      <c r="S41" s="19">
        <v>1.21</v>
      </c>
      <c r="T41" s="19">
        <v>65.0</v>
      </c>
      <c r="U41" s="19">
        <f t="shared" si="2"/>
        <v>337.04</v>
      </c>
      <c r="V41" s="19">
        <f t="shared" si="3"/>
        <v>52.4664</v>
      </c>
      <c r="W41" s="19">
        <f t="shared" si="4"/>
        <v>389.5064</v>
      </c>
      <c r="X41" s="15"/>
      <c r="Y41" s="15"/>
      <c r="Z41" s="21" t="s">
        <v>221</v>
      </c>
      <c r="AA41" s="15"/>
      <c r="AB41" s="15"/>
      <c r="AC41" s="15"/>
      <c r="AD41" s="15"/>
      <c r="AE41" s="15"/>
      <c r="AF41" s="15"/>
      <c r="AG41" s="15">
        <v>1.11</v>
      </c>
      <c r="AH41" s="15"/>
      <c r="AI41" s="15"/>
      <c r="AJ41" s="15"/>
      <c r="AK41" s="15"/>
      <c r="AL41" s="15"/>
      <c r="AM41" s="15"/>
      <c r="AN41" s="15"/>
      <c r="AO41" s="20">
        <f t="shared" si="15"/>
        <v>20.2224</v>
      </c>
      <c r="AP41" s="20">
        <f t="shared" si="5"/>
        <v>5.0556</v>
      </c>
      <c r="AQ41" s="20"/>
      <c r="AR41" s="15"/>
      <c r="AS41" s="20">
        <f t="shared" si="6"/>
        <v>26.388</v>
      </c>
      <c r="AT41" s="19">
        <f t="shared" si="7"/>
        <v>310.652</v>
      </c>
      <c r="AU41" s="19">
        <f t="shared" si="8"/>
        <v>103.5506667</v>
      </c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</row>
    <row r="42" ht="15.75" customHeight="1">
      <c r="A42" s="15" t="s">
        <v>222</v>
      </c>
      <c r="B42" s="15">
        <v>20361.0</v>
      </c>
      <c r="C42" s="16" t="s">
        <v>46</v>
      </c>
      <c r="D42" s="15">
        <v>1000650.0</v>
      </c>
      <c r="E42" s="15" t="s">
        <v>223</v>
      </c>
      <c r="F42" s="15" t="s">
        <v>61</v>
      </c>
      <c r="G42" s="17" t="s">
        <v>6</v>
      </c>
      <c r="H42" s="15" t="s">
        <v>224</v>
      </c>
      <c r="I42" s="18">
        <v>45078.0</v>
      </c>
      <c r="J42" s="15" t="s">
        <v>225</v>
      </c>
      <c r="K42" s="18">
        <v>45108.0</v>
      </c>
      <c r="L42" s="15" t="s">
        <v>74</v>
      </c>
      <c r="M42" s="15" t="s">
        <v>115</v>
      </c>
      <c r="N42" s="15">
        <v>53.0</v>
      </c>
      <c r="O42" s="25"/>
      <c r="P42" s="15">
        <v>2.0</v>
      </c>
      <c r="Q42" s="19">
        <f t="shared" si="14"/>
        <v>106</v>
      </c>
      <c r="R42" s="19"/>
      <c r="S42" s="19"/>
      <c r="T42" s="19"/>
      <c r="U42" s="19">
        <f t="shared" si="2"/>
        <v>106</v>
      </c>
      <c r="V42" s="19">
        <f t="shared" si="3"/>
        <v>16.96</v>
      </c>
      <c r="W42" s="19">
        <f t="shared" si="4"/>
        <v>122.96</v>
      </c>
      <c r="X42" s="25"/>
      <c r="Y42" s="25"/>
      <c r="Z42" s="25"/>
      <c r="AA42" s="25"/>
      <c r="AB42" s="25"/>
      <c r="AC42" s="25"/>
      <c r="AD42" s="25"/>
      <c r="AE42" s="25"/>
      <c r="AF42" s="25"/>
      <c r="AG42" s="15">
        <v>1.11</v>
      </c>
      <c r="AH42" s="25"/>
      <c r="AI42" s="25"/>
      <c r="AJ42" s="25"/>
      <c r="AK42" s="25"/>
      <c r="AL42" s="25"/>
      <c r="AM42" s="25"/>
      <c r="AN42" s="25"/>
      <c r="AO42" s="20">
        <f t="shared" si="15"/>
        <v>6.36</v>
      </c>
      <c r="AP42" s="20">
        <f t="shared" si="5"/>
        <v>1.59</v>
      </c>
      <c r="AQ42" s="20"/>
      <c r="AR42" s="25"/>
      <c r="AS42" s="20">
        <f t="shared" si="6"/>
        <v>9.06</v>
      </c>
      <c r="AT42" s="19">
        <f t="shared" si="7"/>
        <v>96.94</v>
      </c>
      <c r="AU42" s="19">
        <f t="shared" si="8"/>
        <v>48.47</v>
      </c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</row>
    <row r="43" ht="15.75" customHeight="1">
      <c r="A43" s="15" t="s">
        <v>226</v>
      </c>
      <c r="B43" s="15">
        <v>20318.0</v>
      </c>
      <c r="C43" s="16" t="s">
        <v>64</v>
      </c>
      <c r="D43" s="15">
        <v>1000648.0</v>
      </c>
      <c r="E43" s="15" t="s">
        <v>131</v>
      </c>
      <c r="F43" s="15" t="s">
        <v>61</v>
      </c>
      <c r="G43" s="17" t="s">
        <v>6</v>
      </c>
      <c r="H43" s="15" t="s">
        <v>227</v>
      </c>
      <c r="I43" s="18">
        <v>45078.0</v>
      </c>
      <c r="J43" s="15" t="s">
        <v>145</v>
      </c>
      <c r="K43" s="15" t="s">
        <v>228</v>
      </c>
      <c r="L43" s="15" t="s">
        <v>135</v>
      </c>
      <c r="M43" s="15" t="s">
        <v>109</v>
      </c>
      <c r="N43" s="15">
        <v>82.88</v>
      </c>
      <c r="O43" s="25"/>
      <c r="P43" s="15">
        <v>10.0</v>
      </c>
      <c r="Q43" s="19">
        <f t="shared" si="14"/>
        <v>828.8</v>
      </c>
      <c r="R43" s="19"/>
      <c r="S43" s="19">
        <v>6.78</v>
      </c>
      <c r="T43" s="19">
        <v>310.4</v>
      </c>
      <c r="U43" s="19">
        <f t="shared" si="2"/>
        <v>1145.98</v>
      </c>
      <c r="V43" s="19">
        <f t="shared" si="3"/>
        <v>182.272</v>
      </c>
      <c r="W43" s="19">
        <f t="shared" si="4"/>
        <v>1328.252</v>
      </c>
      <c r="X43" s="25"/>
      <c r="Y43" s="25"/>
      <c r="Z43" s="25"/>
      <c r="AA43" s="25"/>
      <c r="AB43" s="25"/>
      <c r="AC43" s="25"/>
      <c r="AD43" s="25"/>
      <c r="AE43" s="25"/>
      <c r="AF43" s="25"/>
      <c r="AG43" s="15">
        <v>1.11</v>
      </c>
      <c r="AH43" s="25"/>
      <c r="AI43" s="25"/>
      <c r="AJ43" s="25"/>
      <c r="AK43" s="25"/>
      <c r="AL43" s="25"/>
      <c r="AM43" s="25"/>
      <c r="AN43" s="25"/>
      <c r="AO43" s="20">
        <f t="shared" si="15"/>
        <v>68.7588</v>
      </c>
      <c r="AP43" s="20">
        <f t="shared" si="5"/>
        <v>17.1897</v>
      </c>
      <c r="AQ43" s="20"/>
      <c r="AR43" s="25"/>
      <c r="AS43" s="20">
        <f t="shared" si="6"/>
        <v>87.0585</v>
      </c>
      <c r="AT43" s="19">
        <f t="shared" si="7"/>
        <v>1058.9215</v>
      </c>
      <c r="AU43" s="19">
        <f t="shared" si="8"/>
        <v>105.89215</v>
      </c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</row>
    <row r="44" ht="15.75" customHeight="1">
      <c r="A44" s="15" t="s">
        <v>229</v>
      </c>
      <c r="B44" s="15">
        <v>20358.0</v>
      </c>
      <c r="C44" s="16" t="s">
        <v>46</v>
      </c>
      <c r="D44" s="15">
        <v>1000649.0</v>
      </c>
      <c r="E44" s="15" t="s">
        <v>165</v>
      </c>
      <c r="F44" s="15" t="s">
        <v>61</v>
      </c>
      <c r="G44" s="17" t="s">
        <v>6</v>
      </c>
      <c r="H44" s="15" t="s">
        <v>94</v>
      </c>
      <c r="I44" s="18">
        <v>45108.0</v>
      </c>
      <c r="J44" s="15" t="s">
        <v>108</v>
      </c>
      <c r="K44" s="18">
        <v>45139.0</v>
      </c>
      <c r="L44" s="15" t="s">
        <v>135</v>
      </c>
      <c r="M44" s="15" t="s">
        <v>115</v>
      </c>
      <c r="N44" s="15">
        <v>85.0</v>
      </c>
      <c r="O44" s="15"/>
      <c r="P44" s="15">
        <v>2.0</v>
      </c>
      <c r="Q44" s="19">
        <f t="shared" si="14"/>
        <v>170</v>
      </c>
      <c r="R44" s="19"/>
      <c r="S44" s="19"/>
      <c r="T44" s="19"/>
      <c r="U44" s="19">
        <f t="shared" si="2"/>
        <v>170</v>
      </c>
      <c r="V44" s="19">
        <f t="shared" si="3"/>
        <v>27.2</v>
      </c>
      <c r="W44" s="19">
        <f t="shared" si="4"/>
        <v>197.2</v>
      </c>
      <c r="X44" s="15"/>
      <c r="Y44" s="15"/>
      <c r="Z44" s="15"/>
      <c r="AA44" s="15"/>
      <c r="AB44" s="15"/>
      <c r="AC44" s="15"/>
      <c r="AD44" s="22">
        <v>1.161727E7</v>
      </c>
      <c r="AE44" s="23" t="s">
        <v>136</v>
      </c>
      <c r="AF44" s="15">
        <v>4.4</v>
      </c>
      <c r="AG44" s="15">
        <v>1.11</v>
      </c>
      <c r="AH44" s="15"/>
      <c r="AI44" s="15">
        <v>27.2</v>
      </c>
      <c r="AJ44" s="15"/>
      <c r="AK44" s="15"/>
      <c r="AL44" s="15"/>
      <c r="AM44" s="15">
        <v>2.465</v>
      </c>
      <c r="AN44" s="15"/>
      <c r="AO44" s="20">
        <f t="shared" si="15"/>
        <v>10.2</v>
      </c>
      <c r="AP44" s="20">
        <f t="shared" si="5"/>
        <v>2.55</v>
      </c>
      <c r="AQ44" s="20"/>
      <c r="AR44" s="15"/>
      <c r="AS44" s="20">
        <f t="shared" si="6"/>
        <v>47.925</v>
      </c>
      <c r="AT44" s="19">
        <f t="shared" si="7"/>
        <v>122.075</v>
      </c>
      <c r="AU44" s="19">
        <f t="shared" si="8"/>
        <v>61.0375</v>
      </c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</row>
    <row r="45" ht="15.75" customHeight="1">
      <c r="A45" s="15" t="s">
        <v>230</v>
      </c>
      <c r="B45" s="15">
        <v>20393.0</v>
      </c>
      <c r="C45" s="16" t="s">
        <v>92</v>
      </c>
      <c r="D45" s="15">
        <v>2902.0</v>
      </c>
      <c r="E45" s="15" t="s">
        <v>231</v>
      </c>
      <c r="F45" s="15" t="s">
        <v>88</v>
      </c>
      <c r="G45" s="17" t="s">
        <v>6</v>
      </c>
      <c r="H45" s="15" t="s">
        <v>94</v>
      </c>
      <c r="I45" s="18">
        <v>45108.0</v>
      </c>
      <c r="J45" s="15" t="s">
        <v>185</v>
      </c>
      <c r="K45" s="18">
        <v>45108.0</v>
      </c>
      <c r="L45" s="15" t="s">
        <v>74</v>
      </c>
      <c r="M45" s="15" t="s">
        <v>218</v>
      </c>
      <c r="N45" s="15">
        <v>53.0</v>
      </c>
      <c r="O45" s="15"/>
      <c r="P45" s="15">
        <v>1.0</v>
      </c>
      <c r="Q45" s="19">
        <f t="shared" si="14"/>
        <v>53</v>
      </c>
      <c r="R45" s="19"/>
      <c r="S45" s="19">
        <v>1.11</v>
      </c>
      <c r="T45" s="19">
        <v>62.0</v>
      </c>
      <c r="U45" s="19">
        <f t="shared" si="2"/>
        <v>116.11</v>
      </c>
      <c r="V45" s="19">
        <f t="shared" si="3"/>
        <v>18.4</v>
      </c>
      <c r="W45" s="19">
        <f t="shared" si="4"/>
        <v>134.51</v>
      </c>
      <c r="X45" s="15"/>
      <c r="Y45" s="15"/>
      <c r="Z45" s="21" t="s">
        <v>67</v>
      </c>
      <c r="AA45" s="21" t="s">
        <v>232</v>
      </c>
      <c r="AB45" s="15">
        <v>2.64310019999E11</v>
      </c>
      <c r="AC45" s="15"/>
      <c r="AD45" s="22">
        <v>85665.0</v>
      </c>
      <c r="AE45" s="23" t="s">
        <v>68</v>
      </c>
      <c r="AF45" s="15"/>
      <c r="AG45" s="15">
        <v>1.11</v>
      </c>
      <c r="AH45" s="15"/>
      <c r="AI45" s="15"/>
      <c r="AJ45" s="15"/>
      <c r="AK45" s="15"/>
      <c r="AL45" s="15"/>
      <c r="AM45" s="15"/>
      <c r="AN45" s="15"/>
      <c r="AO45" s="20">
        <f t="shared" si="15"/>
        <v>6.9666</v>
      </c>
      <c r="AP45" s="20">
        <f t="shared" si="5"/>
        <v>1.74165</v>
      </c>
      <c r="AQ45" s="20">
        <f>Q45*1.16*0.04</f>
        <v>2.4592</v>
      </c>
      <c r="AR45" s="15"/>
      <c r="AS45" s="20">
        <f t="shared" si="6"/>
        <v>12.27745</v>
      </c>
      <c r="AT45" s="19">
        <f t="shared" si="7"/>
        <v>103.83255</v>
      </c>
      <c r="AU45" s="19">
        <f t="shared" si="8"/>
        <v>103.83255</v>
      </c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</row>
    <row r="46" ht="15.75" customHeight="1">
      <c r="A46" s="15" t="s">
        <v>233</v>
      </c>
      <c r="B46" s="15">
        <v>20401.0</v>
      </c>
      <c r="C46" s="16" t="s">
        <v>92</v>
      </c>
      <c r="D46" s="15">
        <v>1000654.0</v>
      </c>
      <c r="E46" s="15" t="s">
        <v>188</v>
      </c>
      <c r="F46" s="15" t="s">
        <v>61</v>
      </c>
      <c r="G46" s="17" t="s">
        <v>6</v>
      </c>
      <c r="H46" s="15" t="s">
        <v>234</v>
      </c>
      <c r="I46" s="18">
        <v>45170.0</v>
      </c>
      <c r="J46" s="15" t="s">
        <v>234</v>
      </c>
      <c r="K46" s="18">
        <v>45261.0</v>
      </c>
      <c r="L46" s="15" t="s">
        <v>159</v>
      </c>
      <c r="M46" s="15" t="s">
        <v>129</v>
      </c>
      <c r="N46" s="15">
        <v>230.0</v>
      </c>
      <c r="O46" s="15"/>
      <c r="P46" s="15">
        <v>4.0</v>
      </c>
      <c r="Q46" s="19">
        <f t="shared" si="14"/>
        <v>920</v>
      </c>
      <c r="R46" s="19">
        <v>69.73</v>
      </c>
      <c r="S46" s="19">
        <v>1.97</v>
      </c>
      <c r="T46" s="19">
        <v>20.0</v>
      </c>
      <c r="U46" s="19">
        <f t="shared" si="2"/>
        <v>1011.7</v>
      </c>
      <c r="V46" s="19">
        <f t="shared" si="3"/>
        <v>155.9784</v>
      </c>
      <c r="W46" s="19">
        <f t="shared" si="4"/>
        <v>1167.6784</v>
      </c>
      <c r="X46" s="15"/>
      <c r="Y46" s="15">
        <v>5.7196166E7</v>
      </c>
      <c r="Z46" s="15"/>
      <c r="AA46" s="15"/>
      <c r="AB46" s="15"/>
      <c r="AC46" s="15"/>
      <c r="AD46" s="22">
        <v>362692.0</v>
      </c>
      <c r="AE46" s="23" t="s">
        <v>235</v>
      </c>
      <c r="AF46" s="15"/>
      <c r="AG46" s="15">
        <v>1.11</v>
      </c>
      <c r="AH46" s="15"/>
      <c r="AI46" s="15"/>
      <c r="AJ46" s="15"/>
      <c r="AK46" s="15">
        <v>55.2</v>
      </c>
      <c r="AL46" s="15"/>
      <c r="AM46" s="15"/>
      <c r="AN46" s="15"/>
      <c r="AO46" s="20">
        <f t="shared" si="15"/>
        <v>60.702</v>
      </c>
      <c r="AP46" s="20">
        <f t="shared" si="5"/>
        <v>15.1755</v>
      </c>
      <c r="AQ46" s="20"/>
      <c r="AR46" s="15"/>
      <c r="AS46" s="20">
        <f t="shared" si="6"/>
        <v>132.1875</v>
      </c>
      <c r="AT46" s="19">
        <f t="shared" si="7"/>
        <v>879.5125</v>
      </c>
      <c r="AU46" s="19">
        <f t="shared" si="8"/>
        <v>219.878125</v>
      </c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</row>
    <row r="47" ht="15.75" customHeight="1">
      <c r="A47" s="15" t="s">
        <v>236</v>
      </c>
      <c r="B47" s="15">
        <v>20354.0</v>
      </c>
      <c r="C47" s="16" t="s">
        <v>46</v>
      </c>
      <c r="D47" s="15">
        <v>1000655.0</v>
      </c>
      <c r="E47" s="15" t="s">
        <v>215</v>
      </c>
      <c r="F47" s="15" t="s">
        <v>61</v>
      </c>
      <c r="G47" s="17" t="s">
        <v>6</v>
      </c>
      <c r="H47" s="15" t="s">
        <v>212</v>
      </c>
      <c r="I47" s="18">
        <v>45170.0</v>
      </c>
      <c r="J47" s="15" t="s">
        <v>237</v>
      </c>
      <c r="K47" s="18">
        <v>45200.0</v>
      </c>
      <c r="L47" s="15" t="s">
        <v>65</v>
      </c>
      <c r="M47" s="15" t="s">
        <v>173</v>
      </c>
      <c r="N47" s="15">
        <v>110.0</v>
      </c>
      <c r="O47" s="25"/>
      <c r="P47" s="15">
        <v>2.0</v>
      </c>
      <c r="Q47" s="19">
        <f t="shared" si="14"/>
        <v>220</v>
      </c>
      <c r="R47" s="19"/>
      <c r="S47" s="19"/>
      <c r="T47" s="19">
        <v>30.0</v>
      </c>
      <c r="U47" s="19">
        <f t="shared" si="2"/>
        <v>250</v>
      </c>
      <c r="V47" s="19">
        <f t="shared" si="3"/>
        <v>40</v>
      </c>
      <c r="W47" s="19">
        <f t="shared" si="4"/>
        <v>290</v>
      </c>
      <c r="X47" s="25"/>
      <c r="Y47" s="25"/>
      <c r="Z47" s="25"/>
      <c r="AA47" s="25"/>
      <c r="AB47" s="25"/>
      <c r="AC47" s="25"/>
      <c r="AD47" s="25"/>
      <c r="AE47" s="25"/>
      <c r="AF47" s="25"/>
      <c r="AG47" s="15">
        <v>1.11</v>
      </c>
      <c r="AH47" s="25"/>
      <c r="AI47" s="25"/>
      <c r="AJ47" s="25"/>
      <c r="AK47" s="25"/>
      <c r="AL47" s="25"/>
      <c r="AM47" s="25"/>
      <c r="AN47" s="25"/>
      <c r="AO47" s="20">
        <f t="shared" si="15"/>
        <v>15</v>
      </c>
      <c r="AP47" s="20">
        <f t="shared" si="5"/>
        <v>3.75</v>
      </c>
      <c r="AQ47" s="20"/>
      <c r="AR47" s="25"/>
      <c r="AS47" s="20">
        <f t="shared" si="6"/>
        <v>19.86</v>
      </c>
      <c r="AT47" s="19">
        <f t="shared" si="7"/>
        <v>230.14</v>
      </c>
      <c r="AU47" s="19">
        <f t="shared" si="8"/>
        <v>115.07</v>
      </c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</row>
    <row r="48" ht="15.75" customHeight="1">
      <c r="A48" s="15" t="s">
        <v>238</v>
      </c>
      <c r="B48" s="15">
        <v>20319.0</v>
      </c>
      <c r="C48" s="16" t="s">
        <v>64</v>
      </c>
      <c r="D48" s="15">
        <v>2904.0</v>
      </c>
      <c r="E48" s="15" t="s">
        <v>220</v>
      </c>
      <c r="F48" s="15" t="s">
        <v>88</v>
      </c>
      <c r="G48" s="17" t="s">
        <v>6</v>
      </c>
      <c r="H48" s="15" t="s">
        <v>239</v>
      </c>
      <c r="I48" s="18">
        <v>45170.0</v>
      </c>
      <c r="J48" s="15" t="s">
        <v>239</v>
      </c>
      <c r="K48" s="15" t="s">
        <v>228</v>
      </c>
      <c r="L48" s="15" t="s">
        <v>135</v>
      </c>
      <c r="M48" s="15" t="s">
        <v>240</v>
      </c>
      <c r="N48" s="15">
        <v>85.0</v>
      </c>
      <c r="O48" s="25"/>
      <c r="P48" s="15">
        <v>6.0</v>
      </c>
      <c r="Q48" s="19">
        <f t="shared" si="14"/>
        <v>510</v>
      </c>
      <c r="R48" s="19"/>
      <c r="S48" s="19"/>
      <c r="T48" s="19"/>
      <c r="U48" s="19">
        <f t="shared" si="2"/>
        <v>510</v>
      </c>
      <c r="V48" s="19">
        <f t="shared" si="3"/>
        <v>81.6</v>
      </c>
      <c r="W48" s="19">
        <f t="shared" si="4"/>
        <v>591.6</v>
      </c>
      <c r="X48" s="25"/>
      <c r="Y48" s="25"/>
      <c r="Z48" s="25"/>
      <c r="AA48" s="25"/>
      <c r="AB48" s="25"/>
      <c r="AC48" s="25"/>
      <c r="AD48" s="25"/>
      <c r="AE48" s="25"/>
      <c r="AF48" s="15">
        <v>4.4</v>
      </c>
      <c r="AG48" s="25"/>
      <c r="AH48" s="25"/>
      <c r="AI48" s="15">
        <v>25.5</v>
      </c>
      <c r="AJ48" s="25"/>
      <c r="AK48" s="25"/>
      <c r="AL48" s="25"/>
      <c r="AM48" s="25"/>
      <c r="AN48" s="25"/>
      <c r="AO48" s="20">
        <f t="shared" si="15"/>
        <v>30.6</v>
      </c>
      <c r="AP48" s="20">
        <f t="shared" si="5"/>
        <v>7.65</v>
      </c>
      <c r="AQ48" s="20"/>
      <c r="AR48" s="25"/>
      <c r="AS48" s="20">
        <f t="shared" si="6"/>
        <v>68.15</v>
      </c>
      <c r="AT48" s="19">
        <f t="shared" si="7"/>
        <v>441.85</v>
      </c>
      <c r="AU48" s="19">
        <f t="shared" si="8"/>
        <v>73.64166667</v>
      </c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</row>
    <row r="49" ht="15.75" customHeight="1">
      <c r="A49" s="15" t="s">
        <v>241</v>
      </c>
      <c r="B49" s="15">
        <v>20399.0</v>
      </c>
      <c r="C49" s="16" t="s">
        <v>92</v>
      </c>
      <c r="D49" s="15">
        <v>1000656.0</v>
      </c>
      <c r="E49" s="15" t="s">
        <v>178</v>
      </c>
      <c r="F49" s="15" t="s">
        <v>88</v>
      </c>
      <c r="G49" s="17" t="s">
        <v>6</v>
      </c>
      <c r="H49" s="15" t="s">
        <v>72</v>
      </c>
      <c r="I49" s="18">
        <v>45200.0</v>
      </c>
      <c r="J49" s="15" t="s">
        <v>72</v>
      </c>
      <c r="K49" s="15" t="s">
        <v>242</v>
      </c>
      <c r="L49" s="15" t="s">
        <v>74</v>
      </c>
      <c r="M49" s="15" t="s">
        <v>115</v>
      </c>
      <c r="N49" s="15">
        <v>53.0</v>
      </c>
      <c r="O49" s="25"/>
      <c r="P49" s="15">
        <v>3.0</v>
      </c>
      <c r="Q49" s="19">
        <f t="shared" si="14"/>
        <v>159</v>
      </c>
      <c r="R49" s="19"/>
      <c r="S49" s="19"/>
      <c r="T49" s="19"/>
      <c r="U49" s="19">
        <f t="shared" si="2"/>
        <v>159</v>
      </c>
      <c r="V49" s="19">
        <f t="shared" si="3"/>
        <v>25.44</v>
      </c>
      <c r="W49" s="19">
        <f t="shared" si="4"/>
        <v>184.44</v>
      </c>
      <c r="X49" s="25"/>
      <c r="Y49" s="25"/>
      <c r="Z49" s="21" t="s">
        <v>194</v>
      </c>
      <c r="AA49" s="25"/>
      <c r="AB49" s="25"/>
      <c r="AC49" s="15">
        <v>9.258856062E9</v>
      </c>
      <c r="AD49" s="22"/>
      <c r="AE49" s="23"/>
      <c r="AF49" s="15">
        <v>4.4</v>
      </c>
      <c r="AG49" s="15">
        <v>1.11</v>
      </c>
      <c r="AH49" s="15">
        <v>5.41</v>
      </c>
      <c r="AI49" s="15">
        <v>36.57</v>
      </c>
      <c r="AJ49" s="25"/>
      <c r="AK49" s="25"/>
      <c r="AL49" s="25"/>
      <c r="AM49" s="25"/>
      <c r="AN49" s="25"/>
      <c r="AO49" s="20">
        <f t="shared" si="15"/>
        <v>9.54</v>
      </c>
      <c r="AP49" s="20">
        <f t="shared" si="5"/>
        <v>2.385</v>
      </c>
      <c r="AQ49" s="20"/>
      <c r="AR49" s="25"/>
      <c r="AS49" s="20">
        <f t="shared" si="6"/>
        <v>59.415</v>
      </c>
      <c r="AT49" s="19">
        <f t="shared" si="7"/>
        <v>99.585</v>
      </c>
      <c r="AU49" s="19">
        <f t="shared" si="8"/>
        <v>33.195</v>
      </c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</row>
    <row r="50" ht="15.75" customHeight="1">
      <c r="A50" s="15" t="s">
        <v>243</v>
      </c>
      <c r="B50" s="15">
        <v>20398.0</v>
      </c>
      <c r="C50" s="16" t="s">
        <v>92</v>
      </c>
      <c r="D50" s="15">
        <v>1000658.0</v>
      </c>
      <c r="E50" s="15" t="s">
        <v>244</v>
      </c>
      <c r="F50" s="15" t="s">
        <v>61</v>
      </c>
      <c r="G50" s="17" t="s">
        <v>6</v>
      </c>
      <c r="H50" s="15" t="s">
        <v>192</v>
      </c>
      <c r="I50" s="18">
        <v>45231.0</v>
      </c>
      <c r="J50" s="15" t="s">
        <v>192</v>
      </c>
      <c r="K50" s="15" t="s">
        <v>242</v>
      </c>
      <c r="L50" s="15" t="s">
        <v>96</v>
      </c>
      <c r="M50" s="15" t="s">
        <v>115</v>
      </c>
      <c r="N50" s="15">
        <v>110.0</v>
      </c>
      <c r="O50" s="25"/>
      <c r="P50" s="15">
        <v>2.0</v>
      </c>
      <c r="Q50" s="19">
        <f t="shared" si="14"/>
        <v>220</v>
      </c>
      <c r="R50" s="19">
        <v>64.02</v>
      </c>
      <c r="S50" s="19">
        <v>3.35</v>
      </c>
      <c r="T50" s="19">
        <v>36.8</v>
      </c>
      <c r="U50" s="19">
        <f t="shared" si="2"/>
        <v>324.17</v>
      </c>
      <c r="V50" s="19">
        <f t="shared" si="3"/>
        <v>46.2096</v>
      </c>
      <c r="W50" s="19">
        <f t="shared" si="4"/>
        <v>370.3796</v>
      </c>
      <c r="X50" s="25"/>
      <c r="Y50" s="25"/>
      <c r="Z50" s="25"/>
      <c r="AA50" s="25"/>
      <c r="AB50" s="25"/>
      <c r="AC50" s="25"/>
      <c r="AD50" s="22">
        <v>3.3895934E7</v>
      </c>
      <c r="AE50" s="23" t="s">
        <v>245</v>
      </c>
      <c r="AF50" s="15">
        <v>4.4</v>
      </c>
      <c r="AG50" s="15">
        <v>1.11</v>
      </c>
      <c r="AH50" s="25"/>
      <c r="AI50" s="15">
        <v>26.4</v>
      </c>
      <c r="AJ50" s="25"/>
      <c r="AK50" s="25"/>
      <c r="AL50" s="25"/>
      <c r="AM50" s="25"/>
      <c r="AN50" s="25"/>
      <c r="AO50" s="20">
        <f t="shared" si="15"/>
        <v>19.4502</v>
      </c>
      <c r="AP50" s="20">
        <f t="shared" si="5"/>
        <v>4.86255</v>
      </c>
      <c r="AQ50" s="20"/>
      <c r="AR50" s="25"/>
      <c r="AS50" s="20">
        <f t="shared" si="6"/>
        <v>56.22275</v>
      </c>
      <c r="AT50" s="19">
        <f t="shared" si="7"/>
        <v>267.94725</v>
      </c>
      <c r="AU50" s="19">
        <f t="shared" si="8"/>
        <v>133.973625</v>
      </c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</row>
    <row r="51" ht="15.75" customHeight="1">
      <c r="A51" s="15" t="s">
        <v>246</v>
      </c>
      <c r="B51" s="15">
        <v>20481.0</v>
      </c>
      <c r="C51" s="16" t="s">
        <v>161</v>
      </c>
      <c r="D51" s="15">
        <v>2912.0</v>
      </c>
      <c r="E51" s="15" t="s">
        <v>123</v>
      </c>
      <c r="F51" s="15" t="s">
        <v>88</v>
      </c>
      <c r="G51" s="17" t="s">
        <v>6</v>
      </c>
      <c r="H51" s="15" t="s">
        <v>132</v>
      </c>
      <c r="I51" s="18">
        <v>45261.0</v>
      </c>
      <c r="J51" s="15" t="s">
        <v>132</v>
      </c>
      <c r="K51" s="15" t="s">
        <v>161</v>
      </c>
      <c r="L51" s="15" t="s">
        <v>51</v>
      </c>
      <c r="M51" s="15" t="s">
        <v>182</v>
      </c>
      <c r="N51" s="15">
        <v>142.5</v>
      </c>
      <c r="O51" s="15">
        <v>10.0</v>
      </c>
      <c r="P51" s="15">
        <v>19.0</v>
      </c>
      <c r="Q51" s="19">
        <f>(N51*P51)*0.9</f>
        <v>2436.75</v>
      </c>
      <c r="R51" s="19"/>
      <c r="S51" s="19"/>
      <c r="T51" s="19">
        <v>342.0</v>
      </c>
      <c r="U51" s="19">
        <f t="shared" si="2"/>
        <v>2778.75</v>
      </c>
      <c r="V51" s="19">
        <f t="shared" si="3"/>
        <v>444.6</v>
      </c>
      <c r="W51" s="19">
        <f t="shared" si="4"/>
        <v>3223.35</v>
      </c>
      <c r="X51" s="25"/>
      <c r="Y51" s="15">
        <v>2.1938877E7</v>
      </c>
      <c r="Z51" s="21" t="s">
        <v>97</v>
      </c>
      <c r="AA51" s="25"/>
      <c r="AB51" s="25"/>
      <c r="AC51" s="25"/>
      <c r="AD51" s="22">
        <v>3531500.0</v>
      </c>
      <c r="AE51" s="23" t="s">
        <v>247</v>
      </c>
      <c r="AF51" s="15">
        <v>4.43</v>
      </c>
      <c r="AG51" s="15">
        <v>1.11</v>
      </c>
      <c r="AH51" s="25"/>
      <c r="AI51" s="15">
        <v>121.84</v>
      </c>
      <c r="AJ51" s="15">
        <v>85.29</v>
      </c>
      <c r="AK51" s="25"/>
      <c r="AL51" s="25"/>
      <c r="AM51" s="25"/>
      <c r="AN51" s="25"/>
      <c r="AO51" s="20">
        <f t="shared" si="15"/>
        <v>166.725</v>
      </c>
      <c r="AP51" s="20">
        <f t="shared" si="5"/>
        <v>41.68125</v>
      </c>
      <c r="AQ51" s="20"/>
      <c r="AR51" s="25"/>
      <c r="AS51" s="20">
        <f t="shared" si="6"/>
        <v>421.07625</v>
      </c>
      <c r="AT51" s="19">
        <f t="shared" si="7"/>
        <v>2357.67375</v>
      </c>
      <c r="AU51" s="19">
        <f t="shared" si="8"/>
        <v>124.0880921</v>
      </c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</row>
    <row r="52" ht="15.75" customHeight="1">
      <c r="A52" s="9" t="s">
        <v>248</v>
      </c>
      <c r="B52" s="9">
        <v>20315.0</v>
      </c>
      <c r="C52" s="26">
        <v>44927.0</v>
      </c>
      <c r="D52" s="9">
        <v>1000660.0</v>
      </c>
      <c r="E52" s="9" t="s">
        <v>249</v>
      </c>
      <c r="F52" s="9" t="s">
        <v>61</v>
      </c>
      <c r="G52" s="11" t="s">
        <v>6</v>
      </c>
      <c r="H52" s="9" t="s">
        <v>81</v>
      </c>
      <c r="I52" s="12">
        <v>45261.0</v>
      </c>
      <c r="J52" s="9" t="s">
        <v>90</v>
      </c>
      <c r="K52" s="9" t="s">
        <v>181</v>
      </c>
      <c r="L52" s="9" t="s">
        <v>74</v>
      </c>
      <c r="M52" s="9" t="s">
        <v>129</v>
      </c>
      <c r="N52" s="9">
        <v>53.0</v>
      </c>
      <c r="P52" s="9">
        <v>5.0</v>
      </c>
      <c r="Q52" s="13">
        <f>(N52*P52)</f>
        <v>265</v>
      </c>
      <c r="R52" s="13"/>
      <c r="S52" s="13">
        <v>0.28</v>
      </c>
      <c r="T52" s="13">
        <v>12.25</v>
      </c>
      <c r="U52" s="13">
        <f t="shared" si="2"/>
        <v>277.53</v>
      </c>
      <c r="V52" s="13">
        <f t="shared" si="3"/>
        <v>44.36</v>
      </c>
      <c r="W52" s="13">
        <f t="shared" si="4"/>
        <v>321.89</v>
      </c>
      <c r="AC52" s="9" t="s">
        <v>250</v>
      </c>
      <c r="AD52" s="27"/>
      <c r="AE52" s="28"/>
      <c r="AG52" s="9">
        <v>1.11</v>
      </c>
      <c r="AH52" s="9">
        <v>8.3</v>
      </c>
      <c r="AO52" s="14">
        <f t="shared" si="15"/>
        <v>16.6518</v>
      </c>
      <c r="AP52" s="14">
        <f t="shared" si="5"/>
        <v>4.16295</v>
      </c>
      <c r="AQ52" s="14"/>
      <c r="AS52" s="14">
        <f t="shared" si="6"/>
        <v>30.22475</v>
      </c>
      <c r="AT52" s="13">
        <f t="shared" si="7"/>
        <v>247.30525</v>
      </c>
      <c r="AU52" s="13">
        <f t="shared" si="8"/>
        <v>49.46105</v>
      </c>
    </row>
    <row r="53" ht="15.75" customHeight="1">
      <c r="A53" s="9" t="s">
        <v>251</v>
      </c>
      <c r="B53" s="9">
        <v>20518.0</v>
      </c>
      <c r="C53" s="10" t="s">
        <v>161</v>
      </c>
      <c r="D53" s="9">
        <v>1000659.0</v>
      </c>
      <c r="E53" s="9" t="s">
        <v>252</v>
      </c>
      <c r="F53" s="9" t="s">
        <v>88</v>
      </c>
      <c r="G53" s="11" t="s">
        <v>6</v>
      </c>
      <c r="H53" s="9" t="s">
        <v>253</v>
      </c>
      <c r="I53" s="12">
        <v>45261.0</v>
      </c>
      <c r="J53" s="9" t="s">
        <v>253</v>
      </c>
      <c r="K53" s="9" t="s">
        <v>254</v>
      </c>
      <c r="L53" s="9" t="s">
        <v>135</v>
      </c>
      <c r="M53" s="9" t="s">
        <v>182</v>
      </c>
      <c r="N53" s="9">
        <v>80.75</v>
      </c>
      <c r="P53" s="9">
        <v>18.0</v>
      </c>
      <c r="Q53" s="13">
        <f t="shared" ref="Q53:Q59" si="16">N53*P53</f>
        <v>1453.5</v>
      </c>
      <c r="R53" s="13">
        <v>26.68</v>
      </c>
      <c r="S53" s="13"/>
      <c r="T53" s="13">
        <v>120.93</v>
      </c>
      <c r="U53" s="13">
        <f t="shared" si="2"/>
        <v>1601.11</v>
      </c>
      <c r="V53" s="13">
        <f t="shared" si="3"/>
        <v>254.0432</v>
      </c>
      <c r="W53" s="13">
        <f t="shared" si="4"/>
        <v>1855.1532</v>
      </c>
      <c r="AD53" s="27">
        <v>5.0577074E7</v>
      </c>
      <c r="AE53" s="28" t="s">
        <v>255</v>
      </c>
      <c r="AF53" s="9">
        <v>4.4</v>
      </c>
      <c r="AG53" s="9">
        <v>1.11</v>
      </c>
      <c r="AI53" s="9">
        <v>297.16</v>
      </c>
      <c r="AO53" s="14">
        <f t="shared" si="15"/>
        <v>96.0666</v>
      </c>
      <c r="AP53" s="14">
        <f t="shared" si="5"/>
        <v>24.01665</v>
      </c>
      <c r="AQ53" s="14"/>
      <c r="AS53" s="14">
        <f t="shared" si="6"/>
        <v>422.75325</v>
      </c>
      <c r="AT53" s="13">
        <f t="shared" si="7"/>
        <v>1178.35675</v>
      </c>
      <c r="AU53" s="13">
        <f t="shared" si="8"/>
        <v>65.46426389</v>
      </c>
    </row>
    <row r="54" ht="15.0" customHeight="1">
      <c r="A54" s="9" t="s">
        <v>256</v>
      </c>
      <c r="B54" s="9">
        <v>20317.0</v>
      </c>
      <c r="C54" s="10" t="s">
        <v>64</v>
      </c>
      <c r="D54" s="9">
        <v>1000661.0</v>
      </c>
      <c r="E54" s="9" t="s">
        <v>257</v>
      </c>
      <c r="F54" s="9" t="s">
        <v>61</v>
      </c>
      <c r="G54" s="11" t="s">
        <v>6</v>
      </c>
      <c r="H54" s="9" t="s">
        <v>258</v>
      </c>
      <c r="I54" s="12">
        <v>45261.0</v>
      </c>
      <c r="J54" s="9" t="s">
        <v>151</v>
      </c>
      <c r="K54" s="9" t="s">
        <v>228</v>
      </c>
      <c r="L54" s="9" t="s">
        <v>96</v>
      </c>
      <c r="M54" s="9" t="s">
        <v>115</v>
      </c>
      <c r="N54" s="9">
        <v>110.0</v>
      </c>
      <c r="P54" s="9">
        <v>3.0</v>
      </c>
      <c r="Q54" s="13">
        <f t="shared" si="16"/>
        <v>330</v>
      </c>
      <c r="R54" s="13"/>
      <c r="S54" s="13"/>
      <c r="T54" s="13"/>
      <c r="U54" s="13">
        <f t="shared" si="2"/>
        <v>330</v>
      </c>
      <c r="V54" s="13">
        <f t="shared" si="3"/>
        <v>52.8</v>
      </c>
      <c r="W54" s="13">
        <f t="shared" si="4"/>
        <v>382.8</v>
      </c>
      <c r="AF54" s="9">
        <v>4.4</v>
      </c>
      <c r="AG54" s="9">
        <v>1.11</v>
      </c>
      <c r="AI54" s="9">
        <v>52.8</v>
      </c>
      <c r="AM54" s="9">
        <v>4.785</v>
      </c>
      <c r="AO54" s="14">
        <f t="shared" si="15"/>
        <v>19.8</v>
      </c>
      <c r="AP54" s="14">
        <f t="shared" si="5"/>
        <v>4.95</v>
      </c>
      <c r="AQ54" s="14"/>
      <c r="AS54" s="14">
        <f t="shared" si="6"/>
        <v>87.845</v>
      </c>
      <c r="AT54" s="13">
        <f t="shared" si="7"/>
        <v>242.155</v>
      </c>
      <c r="AU54" s="13">
        <f t="shared" si="8"/>
        <v>80.71833333</v>
      </c>
    </row>
    <row r="55" ht="15.75" customHeight="1">
      <c r="A55" s="9" t="s">
        <v>259</v>
      </c>
      <c r="B55" s="9">
        <v>20369.0</v>
      </c>
      <c r="C55" s="10" t="s">
        <v>260</v>
      </c>
      <c r="D55" s="9">
        <v>1000664.0</v>
      </c>
      <c r="E55" s="9" t="s">
        <v>127</v>
      </c>
      <c r="F55" s="9" t="s">
        <v>61</v>
      </c>
      <c r="G55" s="11" t="s">
        <v>6</v>
      </c>
      <c r="H55" s="9" t="s">
        <v>119</v>
      </c>
      <c r="I55" s="9" t="s">
        <v>228</v>
      </c>
      <c r="J55" s="9" t="s">
        <v>119</v>
      </c>
      <c r="K55" s="9" t="s">
        <v>261</v>
      </c>
      <c r="L55" s="9" t="s">
        <v>96</v>
      </c>
      <c r="M55" s="9" t="s">
        <v>115</v>
      </c>
      <c r="N55" s="9">
        <v>110.0</v>
      </c>
      <c r="P55" s="9">
        <v>4.0</v>
      </c>
      <c r="Q55" s="13">
        <f t="shared" si="16"/>
        <v>440</v>
      </c>
      <c r="R55" s="13"/>
      <c r="S55" s="13"/>
      <c r="T55" s="13"/>
      <c r="U55" s="13">
        <f t="shared" si="2"/>
        <v>440</v>
      </c>
      <c r="V55" s="13">
        <f t="shared" si="3"/>
        <v>70.4</v>
      </c>
      <c r="W55" s="13">
        <f t="shared" si="4"/>
        <v>510.4</v>
      </c>
      <c r="AD55" s="27">
        <v>1.161727E7</v>
      </c>
      <c r="AE55" s="28" t="s">
        <v>136</v>
      </c>
      <c r="AF55" s="9">
        <v>4.4</v>
      </c>
      <c r="AG55" s="9">
        <v>1.11</v>
      </c>
      <c r="AI55" s="9">
        <v>70.4</v>
      </c>
      <c r="AM55" s="9">
        <v>6.38</v>
      </c>
      <c r="AO55" s="14">
        <f t="shared" si="15"/>
        <v>26.4</v>
      </c>
      <c r="AP55" s="14">
        <f t="shared" si="5"/>
        <v>6.6</v>
      </c>
      <c r="AQ55" s="14"/>
      <c r="AS55" s="14">
        <f t="shared" si="6"/>
        <v>115.29</v>
      </c>
      <c r="AT55" s="13">
        <f t="shared" si="7"/>
        <v>324.71</v>
      </c>
      <c r="AU55" s="13">
        <f t="shared" si="8"/>
        <v>81.1775</v>
      </c>
    </row>
    <row r="56" ht="15.75" customHeight="1">
      <c r="A56" s="9" t="s">
        <v>262</v>
      </c>
      <c r="B56" s="9">
        <v>20327.0</v>
      </c>
      <c r="C56" s="10" t="s">
        <v>59</v>
      </c>
      <c r="D56" s="9">
        <v>2918.0</v>
      </c>
      <c r="E56" s="9" t="s">
        <v>263</v>
      </c>
      <c r="F56" s="9" t="s">
        <v>88</v>
      </c>
      <c r="G56" s="11" t="s">
        <v>6</v>
      </c>
      <c r="H56" s="9" t="s">
        <v>94</v>
      </c>
      <c r="I56" s="9" t="s">
        <v>228</v>
      </c>
      <c r="J56" s="9" t="s">
        <v>193</v>
      </c>
      <c r="K56" s="9" t="s">
        <v>264</v>
      </c>
      <c r="L56" s="9" t="s">
        <v>74</v>
      </c>
      <c r="M56" s="9" t="s">
        <v>173</v>
      </c>
      <c r="N56" s="9">
        <v>53.0</v>
      </c>
      <c r="P56" s="9">
        <v>3.0</v>
      </c>
      <c r="Q56" s="13">
        <f t="shared" si="16"/>
        <v>159</v>
      </c>
      <c r="R56" s="13"/>
      <c r="S56" s="13"/>
      <c r="T56" s="13"/>
      <c r="U56" s="13">
        <f t="shared" si="2"/>
        <v>159</v>
      </c>
      <c r="V56" s="13">
        <f t="shared" si="3"/>
        <v>25.44</v>
      </c>
      <c r="W56" s="13">
        <f t="shared" si="4"/>
        <v>184.44</v>
      </c>
      <c r="AG56" s="9">
        <v>1.11</v>
      </c>
      <c r="AO56" s="14">
        <f t="shared" si="15"/>
        <v>9.54</v>
      </c>
      <c r="AP56" s="14">
        <f t="shared" si="5"/>
        <v>2.385</v>
      </c>
      <c r="AQ56" s="14"/>
      <c r="AS56" s="14">
        <f t="shared" si="6"/>
        <v>13.035</v>
      </c>
      <c r="AT56" s="13">
        <f t="shared" si="7"/>
        <v>145.965</v>
      </c>
      <c r="AU56" s="13">
        <f t="shared" si="8"/>
        <v>48.655</v>
      </c>
    </row>
    <row r="57" ht="15.75" customHeight="1">
      <c r="A57" s="15" t="s">
        <v>53</v>
      </c>
      <c r="B57" s="15">
        <v>20387.0</v>
      </c>
      <c r="C57" s="16" t="s">
        <v>86</v>
      </c>
      <c r="D57" s="15">
        <v>1000666.0</v>
      </c>
      <c r="E57" s="15" t="s">
        <v>112</v>
      </c>
      <c r="F57" s="15" t="s">
        <v>61</v>
      </c>
      <c r="G57" s="17" t="s">
        <v>6</v>
      </c>
      <c r="H57" s="15" t="s">
        <v>265</v>
      </c>
      <c r="I57" s="15" t="s">
        <v>228</v>
      </c>
      <c r="J57" s="15" t="s">
        <v>50</v>
      </c>
      <c r="K57" s="15" t="s">
        <v>46</v>
      </c>
      <c r="L57" s="15" t="s">
        <v>74</v>
      </c>
      <c r="M57" s="15" t="s">
        <v>173</v>
      </c>
      <c r="N57" s="15">
        <v>53.0</v>
      </c>
      <c r="O57" s="15"/>
      <c r="P57" s="15">
        <v>7.0</v>
      </c>
      <c r="Q57" s="19">
        <f t="shared" si="16"/>
        <v>371</v>
      </c>
      <c r="R57" s="19"/>
      <c r="S57" s="19"/>
      <c r="T57" s="19"/>
      <c r="U57" s="19">
        <f t="shared" si="2"/>
        <v>371</v>
      </c>
      <c r="V57" s="19">
        <f t="shared" si="3"/>
        <v>59.36</v>
      </c>
      <c r="W57" s="19">
        <f t="shared" si="4"/>
        <v>430.36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20"/>
      <c r="AP57" s="20">
        <f t="shared" si="5"/>
        <v>0</v>
      </c>
      <c r="AQ57" s="20"/>
      <c r="AR57" s="15"/>
      <c r="AS57" s="20">
        <f t="shared" si="6"/>
        <v>0</v>
      </c>
      <c r="AT57" s="19">
        <f t="shared" si="7"/>
        <v>371</v>
      </c>
      <c r="AU57" s="19">
        <f t="shared" si="8"/>
        <v>53</v>
      </c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</row>
    <row r="58" ht="15.75" customHeight="1">
      <c r="A58" s="15" t="s">
        <v>266</v>
      </c>
      <c r="B58" s="15">
        <v>20370.0</v>
      </c>
      <c r="C58" s="16" t="s">
        <v>260</v>
      </c>
      <c r="D58" s="15">
        <v>2930.0</v>
      </c>
      <c r="E58" s="15" t="s">
        <v>165</v>
      </c>
      <c r="F58" s="15" t="s">
        <v>88</v>
      </c>
      <c r="G58" s="17" t="s">
        <v>6</v>
      </c>
      <c r="H58" s="15" t="s">
        <v>128</v>
      </c>
      <c r="I58" s="15" t="s">
        <v>264</v>
      </c>
      <c r="J58" s="15" t="s">
        <v>128</v>
      </c>
      <c r="K58" s="15" t="s">
        <v>59</v>
      </c>
      <c r="L58" s="15" t="s">
        <v>135</v>
      </c>
      <c r="M58" s="15" t="s">
        <v>115</v>
      </c>
      <c r="N58" s="15">
        <v>85.0</v>
      </c>
      <c r="O58" s="25"/>
      <c r="P58" s="15">
        <v>3.0</v>
      </c>
      <c r="Q58" s="19">
        <f t="shared" si="16"/>
        <v>255</v>
      </c>
      <c r="R58" s="19">
        <v>50.46</v>
      </c>
      <c r="S58" s="19">
        <v>1.55</v>
      </c>
      <c r="T58" s="19">
        <v>20.0</v>
      </c>
      <c r="U58" s="19">
        <f t="shared" si="2"/>
        <v>327.01</v>
      </c>
      <c r="V58" s="19">
        <f t="shared" si="3"/>
        <v>48.0368</v>
      </c>
      <c r="W58" s="19">
        <f t="shared" si="4"/>
        <v>375.0468</v>
      </c>
      <c r="X58" s="25"/>
      <c r="Y58" s="25"/>
      <c r="Z58" s="25"/>
      <c r="AA58" s="25"/>
      <c r="AB58" s="25"/>
      <c r="AC58" s="25"/>
      <c r="AD58" s="22">
        <v>7560685.0</v>
      </c>
      <c r="AE58" s="23" t="s">
        <v>116</v>
      </c>
      <c r="AF58" s="15">
        <v>2.75</v>
      </c>
      <c r="AG58" s="15">
        <v>1.11</v>
      </c>
      <c r="AH58" s="25"/>
      <c r="AI58" s="15">
        <v>45.9</v>
      </c>
      <c r="AJ58" s="15">
        <v>5.1</v>
      </c>
      <c r="AK58" s="25"/>
      <c r="AL58" s="25"/>
      <c r="AM58" s="25"/>
      <c r="AN58" s="25"/>
      <c r="AO58" s="20">
        <f t="shared" ref="AO58:AO59" si="17">U58*0.06</f>
        <v>19.6206</v>
      </c>
      <c r="AP58" s="20">
        <f t="shared" si="5"/>
        <v>4.90515</v>
      </c>
      <c r="AQ58" s="20"/>
      <c r="AR58" s="25"/>
      <c r="AS58" s="20">
        <f t="shared" si="6"/>
        <v>79.38575</v>
      </c>
      <c r="AT58" s="19">
        <f t="shared" si="7"/>
        <v>247.62425</v>
      </c>
      <c r="AU58" s="19">
        <f t="shared" si="8"/>
        <v>82.54141667</v>
      </c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</row>
    <row r="59" ht="15.75" customHeight="1">
      <c r="A59" s="15" t="s">
        <v>267</v>
      </c>
      <c r="B59" s="15">
        <v>20391.0</v>
      </c>
      <c r="C59" s="16" t="s">
        <v>92</v>
      </c>
      <c r="D59" s="15">
        <v>932.0</v>
      </c>
      <c r="E59" s="15" t="s">
        <v>70</v>
      </c>
      <c r="F59" s="15" t="s">
        <v>71</v>
      </c>
      <c r="G59" s="17" t="s">
        <v>6</v>
      </c>
      <c r="H59" s="15" t="s">
        <v>268</v>
      </c>
      <c r="I59" s="15" t="s">
        <v>64</v>
      </c>
      <c r="J59" s="15" t="s">
        <v>268</v>
      </c>
      <c r="K59" s="15" t="s">
        <v>269</v>
      </c>
      <c r="L59" s="15" t="s">
        <v>74</v>
      </c>
      <c r="M59" s="15" t="s">
        <v>115</v>
      </c>
      <c r="N59" s="15">
        <v>53.0</v>
      </c>
      <c r="O59" s="25"/>
      <c r="P59" s="15">
        <v>6.0</v>
      </c>
      <c r="Q59" s="19">
        <f t="shared" si="16"/>
        <v>318</v>
      </c>
      <c r="R59" s="19"/>
      <c r="S59" s="19"/>
      <c r="T59" s="19"/>
      <c r="U59" s="19">
        <f t="shared" si="2"/>
        <v>318</v>
      </c>
      <c r="V59" s="19">
        <f t="shared" si="3"/>
        <v>50.88</v>
      </c>
      <c r="W59" s="19">
        <f t="shared" si="4"/>
        <v>368.88</v>
      </c>
      <c r="X59" s="25"/>
      <c r="Y59" s="25"/>
      <c r="Z59" s="25"/>
      <c r="AA59" s="25"/>
      <c r="AB59" s="25"/>
      <c r="AC59" s="25"/>
      <c r="AD59" s="22">
        <v>5.0623705E7</v>
      </c>
      <c r="AE59" s="23" t="s">
        <v>270</v>
      </c>
      <c r="AF59" s="15">
        <v>4.4</v>
      </c>
      <c r="AG59" s="15">
        <v>1.11</v>
      </c>
      <c r="AH59" s="25"/>
      <c r="AI59" s="15">
        <v>50.88</v>
      </c>
      <c r="AJ59" s="25"/>
      <c r="AK59" s="25"/>
      <c r="AL59" s="25"/>
      <c r="AM59" s="15">
        <v>4.611</v>
      </c>
      <c r="AN59" s="25"/>
      <c r="AO59" s="20">
        <f t="shared" si="17"/>
        <v>19.08</v>
      </c>
      <c r="AP59" s="20">
        <f t="shared" si="5"/>
        <v>4.77</v>
      </c>
      <c r="AQ59" s="20"/>
      <c r="AR59" s="25"/>
      <c r="AS59" s="20">
        <f t="shared" si="6"/>
        <v>84.851</v>
      </c>
      <c r="AT59" s="19">
        <f t="shared" si="7"/>
        <v>233.149</v>
      </c>
      <c r="AU59" s="19">
        <f t="shared" si="8"/>
        <v>38.85816667</v>
      </c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</row>
    <row r="60" ht="15.75" customHeight="1">
      <c r="A60" s="15" t="s">
        <v>53</v>
      </c>
      <c r="B60" s="15">
        <v>20478.0</v>
      </c>
      <c r="C60" s="16" t="s">
        <v>161</v>
      </c>
      <c r="D60" s="15">
        <v>1000670.0</v>
      </c>
      <c r="E60" s="15" t="s">
        <v>47</v>
      </c>
      <c r="F60" s="15" t="s">
        <v>61</v>
      </c>
      <c r="G60" s="17" t="s">
        <v>6</v>
      </c>
      <c r="H60" s="15" t="s">
        <v>49</v>
      </c>
      <c r="I60" s="15" t="s">
        <v>64</v>
      </c>
      <c r="J60" s="15" t="s">
        <v>49</v>
      </c>
      <c r="K60" s="15" t="s">
        <v>254</v>
      </c>
      <c r="L60" s="15" t="s">
        <v>51</v>
      </c>
      <c r="M60" s="15" t="s">
        <v>173</v>
      </c>
      <c r="N60" s="15">
        <v>146.25</v>
      </c>
      <c r="O60" s="15">
        <v>7.0</v>
      </c>
      <c r="P60" s="15">
        <v>12.0</v>
      </c>
      <c r="Q60" s="19">
        <f>(N60*P60)*0.93</f>
        <v>1632.15</v>
      </c>
      <c r="R60" s="19">
        <v>28.79</v>
      </c>
      <c r="S60" s="19"/>
      <c r="T60" s="19"/>
      <c r="U60" s="19">
        <f t="shared" si="2"/>
        <v>1660.94</v>
      </c>
      <c r="V60" s="19">
        <f t="shared" si="3"/>
        <v>263.4472</v>
      </c>
      <c r="W60" s="19">
        <f t="shared" si="4"/>
        <v>1924.3872</v>
      </c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20"/>
      <c r="AP60" s="20">
        <f t="shared" si="5"/>
        <v>0</v>
      </c>
      <c r="AQ60" s="20"/>
      <c r="AR60" s="15"/>
      <c r="AS60" s="20">
        <f t="shared" si="6"/>
        <v>0</v>
      </c>
      <c r="AT60" s="19">
        <f t="shared" si="7"/>
        <v>1660.94</v>
      </c>
      <c r="AU60" s="19">
        <f t="shared" si="8"/>
        <v>138.4116667</v>
      </c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</row>
    <row r="61" ht="15.75" customHeight="1">
      <c r="A61" s="15" t="s">
        <v>271</v>
      </c>
      <c r="B61" s="15">
        <v>20517.0</v>
      </c>
      <c r="C61" s="16" t="s">
        <v>161</v>
      </c>
      <c r="D61" s="15">
        <v>933.0</v>
      </c>
      <c r="E61" s="15" t="s">
        <v>272</v>
      </c>
      <c r="F61" s="15" t="s">
        <v>71</v>
      </c>
      <c r="G61" s="17" t="s">
        <v>6</v>
      </c>
      <c r="H61" s="15" t="s">
        <v>128</v>
      </c>
      <c r="I61" s="15" t="s">
        <v>261</v>
      </c>
      <c r="J61" s="15" t="s">
        <v>128</v>
      </c>
      <c r="K61" s="15" t="s">
        <v>161</v>
      </c>
      <c r="L61" s="15" t="s">
        <v>74</v>
      </c>
      <c r="M61" s="15" t="s">
        <v>140</v>
      </c>
      <c r="N61" s="15">
        <v>51.68</v>
      </c>
      <c r="O61" s="15">
        <v>10.0</v>
      </c>
      <c r="P61" s="15">
        <v>12.0</v>
      </c>
      <c r="Q61" s="19">
        <f>N61*P61*0.9</f>
        <v>558.144</v>
      </c>
      <c r="R61" s="19"/>
      <c r="S61" s="19"/>
      <c r="T61" s="19"/>
      <c r="U61" s="19">
        <f t="shared" si="2"/>
        <v>558.144</v>
      </c>
      <c r="V61" s="19">
        <f t="shared" si="3"/>
        <v>89.30304</v>
      </c>
      <c r="W61" s="19">
        <f t="shared" si="4"/>
        <v>647.44704</v>
      </c>
      <c r="X61" s="15"/>
      <c r="Y61" s="15"/>
      <c r="Z61" s="21" t="s">
        <v>273</v>
      </c>
      <c r="AA61" s="21" t="s">
        <v>274</v>
      </c>
      <c r="AB61" s="15">
        <v>2.64310019999E11</v>
      </c>
      <c r="AC61" s="15"/>
      <c r="AD61" s="15">
        <v>9.1276662E7</v>
      </c>
      <c r="AE61" s="15" t="s">
        <v>275</v>
      </c>
      <c r="AF61" s="15"/>
      <c r="AG61" s="15">
        <v>1.11</v>
      </c>
      <c r="AH61" s="15"/>
      <c r="AI61" s="15"/>
      <c r="AJ61" s="15"/>
      <c r="AK61" s="15"/>
      <c r="AL61" s="15"/>
      <c r="AM61" s="15"/>
      <c r="AN61" s="15">
        <v>32.37214</v>
      </c>
      <c r="AO61" s="20">
        <f t="shared" ref="AO61:AO75" si="18">U61*0.06</f>
        <v>33.48864</v>
      </c>
      <c r="AP61" s="20">
        <f t="shared" si="5"/>
        <v>8.37216</v>
      </c>
      <c r="AQ61" s="20">
        <f>W61*0.04</f>
        <v>25.8978816</v>
      </c>
      <c r="AR61" s="15"/>
      <c r="AS61" s="20">
        <f t="shared" si="6"/>
        <v>101.2408216</v>
      </c>
      <c r="AT61" s="19">
        <f t="shared" si="7"/>
        <v>456.9031784</v>
      </c>
      <c r="AU61" s="19">
        <f t="shared" si="8"/>
        <v>38.07526487</v>
      </c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</row>
    <row r="62" ht="15.75" customHeight="1">
      <c r="A62" s="15" t="s">
        <v>276</v>
      </c>
      <c r="B62" s="15">
        <v>20368.0</v>
      </c>
      <c r="C62" s="16" t="s">
        <v>260</v>
      </c>
      <c r="D62" s="15">
        <v>1000673.0</v>
      </c>
      <c r="E62" s="15" t="s">
        <v>178</v>
      </c>
      <c r="F62" s="15" t="s">
        <v>61</v>
      </c>
      <c r="G62" s="17" t="s">
        <v>6</v>
      </c>
      <c r="H62" s="15" t="s">
        <v>81</v>
      </c>
      <c r="I62" s="15" t="s">
        <v>261</v>
      </c>
      <c r="J62" s="15" t="s">
        <v>277</v>
      </c>
      <c r="K62" s="15" t="s">
        <v>59</v>
      </c>
      <c r="L62" s="15" t="s">
        <v>74</v>
      </c>
      <c r="M62" s="15" t="s">
        <v>115</v>
      </c>
      <c r="N62" s="15">
        <v>53.0</v>
      </c>
      <c r="O62" s="15"/>
      <c r="P62" s="15">
        <v>2.0</v>
      </c>
      <c r="Q62" s="19">
        <f t="shared" ref="Q62:Q66" si="19">N62*P62</f>
        <v>106</v>
      </c>
      <c r="R62" s="19"/>
      <c r="S62" s="19"/>
      <c r="T62" s="19"/>
      <c r="U62" s="19">
        <f t="shared" si="2"/>
        <v>106</v>
      </c>
      <c r="V62" s="19">
        <f t="shared" si="3"/>
        <v>16.96</v>
      </c>
      <c r="W62" s="19">
        <f t="shared" si="4"/>
        <v>122.96</v>
      </c>
      <c r="X62" s="15"/>
      <c r="Y62" s="15"/>
      <c r="Z62" s="15"/>
      <c r="AA62" s="15"/>
      <c r="AB62" s="15"/>
      <c r="AC62" s="15"/>
      <c r="AD62" s="22">
        <v>1.161727E7</v>
      </c>
      <c r="AE62" s="23" t="s">
        <v>136</v>
      </c>
      <c r="AF62" s="15">
        <v>4.4</v>
      </c>
      <c r="AG62" s="15">
        <v>1.11</v>
      </c>
      <c r="AH62" s="15"/>
      <c r="AI62" s="15">
        <v>16.96</v>
      </c>
      <c r="AJ62" s="15"/>
      <c r="AK62" s="15"/>
      <c r="AL62" s="15"/>
      <c r="AM62" s="15">
        <v>1.537</v>
      </c>
      <c r="AN62" s="15"/>
      <c r="AO62" s="20">
        <f t="shared" si="18"/>
        <v>6.36</v>
      </c>
      <c r="AP62" s="20">
        <f t="shared" si="5"/>
        <v>1.59</v>
      </c>
      <c r="AQ62" s="20"/>
      <c r="AR62" s="15"/>
      <c r="AS62" s="20">
        <f t="shared" si="6"/>
        <v>31.957</v>
      </c>
      <c r="AT62" s="19">
        <f t="shared" si="7"/>
        <v>74.043</v>
      </c>
      <c r="AU62" s="19">
        <f t="shared" si="8"/>
        <v>37.0215</v>
      </c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</row>
    <row r="63" ht="15.75" customHeight="1">
      <c r="A63" s="15" t="s">
        <v>278</v>
      </c>
      <c r="B63" s="15">
        <v>20423.0</v>
      </c>
      <c r="C63" s="16" t="s">
        <v>254</v>
      </c>
      <c r="D63" s="15">
        <v>1000672.0</v>
      </c>
      <c r="E63" s="15" t="s">
        <v>279</v>
      </c>
      <c r="F63" s="15" t="s">
        <v>61</v>
      </c>
      <c r="G63" s="17" t="s">
        <v>6</v>
      </c>
      <c r="H63" s="15" t="s">
        <v>280</v>
      </c>
      <c r="I63" s="15" t="s">
        <v>46</v>
      </c>
      <c r="J63" s="15" t="s">
        <v>280</v>
      </c>
      <c r="K63" s="15" t="s">
        <v>92</v>
      </c>
      <c r="L63" s="15" t="s">
        <v>135</v>
      </c>
      <c r="M63" s="15" t="s">
        <v>115</v>
      </c>
      <c r="N63" s="15">
        <v>85.0</v>
      </c>
      <c r="O63" s="15"/>
      <c r="P63" s="15">
        <v>5.0</v>
      </c>
      <c r="Q63" s="19">
        <f t="shared" si="19"/>
        <v>425</v>
      </c>
      <c r="R63" s="19"/>
      <c r="S63" s="19">
        <v>2.44</v>
      </c>
      <c r="T63" s="19">
        <v>180.3</v>
      </c>
      <c r="U63" s="19">
        <f t="shared" si="2"/>
        <v>607.74</v>
      </c>
      <c r="V63" s="19">
        <f t="shared" si="3"/>
        <v>96.848</v>
      </c>
      <c r="W63" s="19">
        <f t="shared" si="4"/>
        <v>704.588</v>
      </c>
      <c r="X63" s="15"/>
      <c r="Y63" s="15"/>
      <c r="Z63" s="15"/>
      <c r="AA63" s="15"/>
      <c r="AB63" s="15"/>
      <c r="AC63" s="15"/>
      <c r="AD63" s="22">
        <v>6.7662825E7</v>
      </c>
      <c r="AE63" s="23" t="s">
        <v>281</v>
      </c>
      <c r="AF63" s="15">
        <v>4.59</v>
      </c>
      <c r="AG63" s="15">
        <v>1.11</v>
      </c>
      <c r="AH63" s="15"/>
      <c r="AI63" s="15">
        <v>21.25</v>
      </c>
      <c r="AJ63" s="15"/>
      <c r="AK63" s="15"/>
      <c r="AL63" s="15"/>
      <c r="AM63" s="15"/>
      <c r="AN63" s="15"/>
      <c r="AO63" s="20">
        <f t="shared" si="18"/>
        <v>36.4644</v>
      </c>
      <c r="AP63" s="20">
        <f t="shared" si="5"/>
        <v>9.1161</v>
      </c>
      <c r="AQ63" s="20"/>
      <c r="AR63" s="15"/>
      <c r="AS63" s="20">
        <f t="shared" si="6"/>
        <v>72.5305</v>
      </c>
      <c r="AT63" s="19">
        <f t="shared" si="7"/>
        <v>535.2095</v>
      </c>
      <c r="AU63" s="19">
        <f t="shared" si="8"/>
        <v>107.0419</v>
      </c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</row>
    <row r="64" ht="15.75" customHeight="1">
      <c r="A64" s="15" t="s">
        <v>282</v>
      </c>
      <c r="B64" s="15">
        <v>20386.0</v>
      </c>
      <c r="C64" s="16" t="s">
        <v>86</v>
      </c>
      <c r="D64" s="15">
        <v>2936.0</v>
      </c>
      <c r="E64" s="15" t="s">
        <v>178</v>
      </c>
      <c r="F64" s="15" t="s">
        <v>88</v>
      </c>
      <c r="G64" s="17" t="s">
        <v>6</v>
      </c>
      <c r="H64" s="15" t="s">
        <v>62</v>
      </c>
      <c r="I64" s="15" t="s">
        <v>46</v>
      </c>
      <c r="J64" s="15" t="s">
        <v>50</v>
      </c>
      <c r="K64" s="15" t="s">
        <v>283</v>
      </c>
      <c r="L64" s="15" t="s">
        <v>74</v>
      </c>
      <c r="M64" s="15" t="s">
        <v>115</v>
      </c>
      <c r="N64" s="15">
        <v>53.0</v>
      </c>
      <c r="O64" s="15"/>
      <c r="P64" s="15">
        <v>2.0</v>
      </c>
      <c r="Q64" s="19">
        <f t="shared" si="19"/>
        <v>106</v>
      </c>
      <c r="R64" s="19"/>
      <c r="S64" s="19"/>
      <c r="T64" s="19">
        <v>25.0</v>
      </c>
      <c r="U64" s="19">
        <f t="shared" si="2"/>
        <v>131</v>
      </c>
      <c r="V64" s="19">
        <f t="shared" si="3"/>
        <v>20.96</v>
      </c>
      <c r="W64" s="19">
        <f t="shared" si="4"/>
        <v>151.96</v>
      </c>
      <c r="X64" s="15"/>
      <c r="Y64" s="15"/>
      <c r="Z64" s="15"/>
      <c r="AA64" s="15"/>
      <c r="AB64" s="15"/>
      <c r="AC64" s="15"/>
      <c r="AD64" s="22">
        <v>7560685.0</v>
      </c>
      <c r="AE64" s="23" t="s">
        <v>116</v>
      </c>
      <c r="AF64" s="15">
        <v>2.75</v>
      </c>
      <c r="AG64" s="15">
        <v>1.11</v>
      </c>
      <c r="AH64" s="15"/>
      <c r="AI64" s="15">
        <v>19.08</v>
      </c>
      <c r="AJ64" s="15">
        <v>2.12</v>
      </c>
      <c r="AK64" s="15"/>
      <c r="AL64" s="15"/>
      <c r="AM64" s="15"/>
      <c r="AN64" s="15"/>
      <c r="AO64" s="20">
        <f t="shared" si="18"/>
        <v>7.86</v>
      </c>
      <c r="AP64" s="20">
        <f t="shared" si="5"/>
        <v>1.965</v>
      </c>
      <c r="AQ64" s="20"/>
      <c r="AR64" s="15"/>
      <c r="AS64" s="20">
        <f t="shared" si="6"/>
        <v>34.885</v>
      </c>
      <c r="AT64" s="19">
        <f t="shared" si="7"/>
        <v>96.115</v>
      </c>
      <c r="AU64" s="19">
        <f t="shared" si="8"/>
        <v>48.0575</v>
      </c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</row>
    <row r="65" ht="15.75" customHeight="1">
      <c r="A65" s="15" t="s">
        <v>284</v>
      </c>
      <c r="B65" s="15">
        <v>20456.0</v>
      </c>
      <c r="C65" s="16" t="s">
        <v>161</v>
      </c>
      <c r="D65" s="15">
        <v>1000678.0</v>
      </c>
      <c r="E65" s="15" t="s">
        <v>285</v>
      </c>
      <c r="F65" s="15" t="s">
        <v>61</v>
      </c>
      <c r="G65" s="17" t="s">
        <v>6</v>
      </c>
      <c r="H65" s="15" t="s">
        <v>212</v>
      </c>
      <c r="I65" s="15" t="s">
        <v>46</v>
      </c>
      <c r="J65" s="15" t="s">
        <v>95</v>
      </c>
      <c r="K65" s="15" t="s">
        <v>286</v>
      </c>
      <c r="L65" s="15" t="s">
        <v>74</v>
      </c>
      <c r="M65" s="15" t="s">
        <v>140</v>
      </c>
      <c r="N65" s="15">
        <v>51.67</v>
      </c>
      <c r="O65" s="15"/>
      <c r="P65" s="15">
        <v>7.0</v>
      </c>
      <c r="Q65" s="19">
        <f t="shared" si="19"/>
        <v>361.69</v>
      </c>
      <c r="R65" s="19"/>
      <c r="S65" s="19"/>
      <c r="T65" s="19"/>
      <c r="U65" s="19">
        <f t="shared" si="2"/>
        <v>361.69</v>
      </c>
      <c r="V65" s="19">
        <f t="shared" si="3"/>
        <v>57.8704</v>
      </c>
      <c r="W65" s="19">
        <f t="shared" si="4"/>
        <v>419.5604</v>
      </c>
      <c r="X65" s="15"/>
      <c r="Y65" s="15"/>
      <c r="Z65" s="21" t="s">
        <v>67</v>
      </c>
      <c r="AA65" s="15">
        <v>196310.0</v>
      </c>
      <c r="AB65" s="15">
        <v>2.64309999995E11</v>
      </c>
      <c r="AC65" s="15"/>
      <c r="AD65" s="22">
        <v>85665.0</v>
      </c>
      <c r="AE65" s="23" t="s">
        <v>68</v>
      </c>
      <c r="AF65" s="15"/>
      <c r="AG65" s="15">
        <v>1.11</v>
      </c>
      <c r="AH65" s="15"/>
      <c r="AI65" s="15"/>
      <c r="AJ65" s="15"/>
      <c r="AK65" s="15"/>
      <c r="AL65" s="15"/>
      <c r="AM65" s="15"/>
      <c r="AN65" s="15"/>
      <c r="AO65" s="20">
        <f t="shared" si="18"/>
        <v>21.7014</v>
      </c>
      <c r="AP65" s="20">
        <f t="shared" si="5"/>
        <v>5.42535</v>
      </c>
      <c r="AQ65" s="20">
        <f>W65*0.04</f>
        <v>16.782416</v>
      </c>
      <c r="AR65" s="15">
        <v>52.55</v>
      </c>
      <c r="AS65" s="20">
        <f t="shared" si="6"/>
        <v>97.569166</v>
      </c>
      <c r="AT65" s="19">
        <f t="shared" si="7"/>
        <v>264.120834</v>
      </c>
      <c r="AU65" s="19">
        <f t="shared" si="8"/>
        <v>37.73154771</v>
      </c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</row>
    <row r="66" ht="15.75" customHeight="1">
      <c r="A66" s="15" t="s">
        <v>287</v>
      </c>
      <c r="B66" s="15">
        <v>20454.0</v>
      </c>
      <c r="C66" s="16" t="s">
        <v>46</v>
      </c>
      <c r="D66" s="15">
        <v>1000679.0</v>
      </c>
      <c r="E66" s="15" t="s">
        <v>100</v>
      </c>
      <c r="F66" s="15" t="s">
        <v>61</v>
      </c>
      <c r="G66" s="17" t="s">
        <v>6</v>
      </c>
      <c r="H66" s="15" t="s">
        <v>132</v>
      </c>
      <c r="I66" s="15" t="s">
        <v>46</v>
      </c>
      <c r="J66" s="15" t="s">
        <v>192</v>
      </c>
      <c r="K66" s="15" t="s">
        <v>288</v>
      </c>
      <c r="L66" s="15" t="s">
        <v>96</v>
      </c>
      <c r="M66" s="15" t="s">
        <v>109</v>
      </c>
      <c r="N66" s="15">
        <v>107.25</v>
      </c>
      <c r="O66" s="25"/>
      <c r="P66" s="15">
        <v>8.0</v>
      </c>
      <c r="Q66" s="19">
        <f t="shared" si="19"/>
        <v>858</v>
      </c>
      <c r="R66" s="19">
        <v>51.35</v>
      </c>
      <c r="S66" s="19">
        <v>1.57</v>
      </c>
      <c r="T66" s="19">
        <v>149.31</v>
      </c>
      <c r="U66" s="19">
        <f t="shared" si="2"/>
        <v>1060.23</v>
      </c>
      <c r="V66" s="19">
        <f t="shared" si="3"/>
        <v>165.2776</v>
      </c>
      <c r="W66" s="19">
        <f t="shared" si="4"/>
        <v>1225.5076</v>
      </c>
      <c r="X66" s="25"/>
      <c r="Y66" s="15">
        <v>5.6479984E7</v>
      </c>
      <c r="Z66" s="21" t="s">
        <v>289</v>
      </c>
      <c r="AA66" s="25"/>
      <c r="AB66" s="25"/>
      <c r="AC66" s="25"/>
      <c r="AD66" s="25"/>
      <c r="AE66" s="25"/>
      <c r="AF66" s="25"/>
      <c r="AG66" s="15">
        <v>1.11</v>
      </c>
      <c r="AH66" s="25"/>
      <c r="AI66" s="25"/>
      <c r="AJ66" s="25"/>
      <c r="AK66" s="25"/>
      <c r="AL66" s="25"/>
      <c r="AM66" s="25"/>
      <c r="AN66" s="25"/>
      <c r="AO66" s="20">
        <f t="shared" si="18"/>
        <v>63.6138</v>
      </c>
      <c r="AP66" s="20">
        <f t="shared" si="5"/>
        <v>15.90345</v>
      </c>
      <c r="AQ66" s="20"/>
      <c r="AR66" s="25"/>
      <c r="AS66" s="20">
        <f t="shared" si="6"/>
        <v>80.62725</v>
      </c>
      <c r="AT66" s="19">
        <f t="shared" si="7"/>
        <v>979.60275</v>
      </c>
      <c r="AU66" s="19">
        <f t="shared" si="8"/>
        <v>122.4503438</v>
      </c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</row>
    <row r="67" ht="15.75" customHeight="1">
      <c r="A67" s="15" t="s">
        <v>290</v>
      </c>
      <c r="B67" s="15">
        <v>20384.0</v>
      </c>
      <c r="C67" s="16" t="s">
        <v>86</v>
      </c>
      <c r="D67" s="15">
        <v>1000680.0</v>
      </c>
      <c r="E67" s="15" t="s">
        <v>291</v>
      </c>
      <c r="F67" s="15" t="s">
        <v>61</v>
      </c>
      <c r="G67" s="17" t="s">
        <v>6</v>
      </c>
      <c r="H67" s="15" t="s">
        <v>292</v>
      </c>
      <c r="I67" s="15" t="s">
        <v>269</v>
      </c>
      <c r="J67" s="15" t="s">
        <v>293</v>
      </c>
      <c r="K67" s="15" t="s">
        <v>86</v>
      </c>
      <c r="L67" s="15" t="s">
        <v>135</v>
      </c>
      <c r="M67" s="15" t="s">
        <v>129</v>
      </c>
      <c r="N67" s="15">
        <v>85.0</v>
      </c>
      <c r="O67" s="15">
        <v>5.0</v>
      </c>
      <c r="P67" s="15">
        <v>2.0</v>
      </c>
      <c r="Q67" s="19">
        <f>N67*P67*0.95</f>
        <v>161.5</v>
      </c>
      <c r="R67" s="19"/>
      <c r="S67" s="19"/>
      <c r="T67" s="19">
        <v>30.0</v>
      </c>
      <c r="U67" s="19">
        <f t="shared" si="2"/>
        <v>191.5</v>
      </c>
      <c r="V67" s="19">
        <f t="shared" si="3"/>
        <v>30.64</v>
      </c>
      <c r="W67" s="19">
        <f t="shared" si="4"/>
        <v>222.14</v>
      </c>
      <c r="X67" s="25"/>
      <c r="Y67" s="15"/>
      <c r="Z67" s="21" t="s">
        <v>294</v>
      </c>
      <c r="AA67" s="25"/>
      <c r="AB67" s="25"/>
      <c r="AC67" s="15"/>
      <c r="AD67" s="22">
        <v>2.3270973E7</v>
      </c>
      <c r="AE67" s="23" t="s">
        <v>295</v>
      </c>
      <c r="AF67" s="15">
        <v>4.4</v>
      </c>
      <c r="AG67" s="15">
        <v>1.11</v>
      </c>
      <c r="AH67" s="25"/>
      <c r="AI67" s="25"/>
      <c r="AJ67" s="15">
        <v>31.5</v>
      </c>
      <c r="AK67" s="15">
        <v>8.08</v>
      </c>
      <c r="AL67" s="25"/>
      <c r="AM67" s="25"/>
      <c r="AN67" s="25"/>
      <c r="AO67" s="20">
        <f t="shared" si="18"/>
        <v>11.49</v>
      </c>
      <c r="AP67" s="20">
        <f t="shared" si="5"/>
        <v>2.8725</v>
      </c>
      <c r="AQ67" s="20"/>
      <c r="AR67" s="25"/>
      <c r="AS67" s="20">
        <f t="shared" si="6"/>
        <v>59.4525</v>
      </c>
      <c r="AT67" s="19">
        <f t="shared" si="7"/>
        <v>132.0475</v>
      </c>
      <c r="AU67" s="19">
        <f t="shared" si="8"/>
        <v>66.02375</v>
      </c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</row>
    <row r="68" ht="15.75" customHeight="1">
      <c r="A68" s="9" t="s">
        <v>296</v>
      </c>
      <c r="B68" s="9">
        <v>20383.0</v>
      </c>
      <c r="C68" s="10" t="s">
        <v>86</v>
      </c>
      <c r="D68" s="9">
        <v>934.0</v>
      </c>
      <c r="E68" s="9" t="s">
        <v>175</v>
      </c>
      <c r="F68" s="9" t="s">
        <v>71</v>
      </c>
      <c r="G68" s="11" t="s">
        <v>6</v>
      </c>
      <c r="H68" s="9" t="s">
        <v>55</v>
      </c>
      <c r="I68" s="9" t="s">
        <v>269</v>
      </c>
      <c r="J68" s="9" t="s">
        <v>297</v>
      </c>
      <c r="K68" s="9" t="s">
        <v>260</v>
      </c>
      <c r="L68" s="9" t="s">
        <v>51</v>
      </c>
      <c r="M68" s="9" t="s">
        <v>115</v>
      </c>
      <c r="N68" s="9">
        <v>150.0</v>
      </c>
      <c r="P68" s="9">
        <v>2.0</v>
      </c>
      <c r="Q68" s="13">
        <f t="shared" ref="Q68:Q76" si="20">N68*P68</f>
        <v>300</v>
      </c>
      <c r="R68" s="13"/>
      <c r="S68" s="13"/>
      <c r="T68" s="13"/>
      <c r="U68" s="13">
        <f t="shared" si="2"/>
        <v>300</v>
      </c>
      <c r="V68" s="13">
        <f t="shared" si="3"/>
        <v>48</v>
      </c>
      <c r="W68" s="13">
        <f t="shared" si="4"/>
        <v>348</v>
      </c>
      <c r="Y68" s="9">
        <v>9.8610306E7</v>
      </c>
      <c r="Z68" s="9"/>
      <c r="AC68" s="9"/>
      <c r="AD68" s="27"/>
      <c r="AE68" s="28"/>
      <c r="AG68" s="9">
        <v>1.11</v>
      </c>
      <c r="AO68" s="14">
        <f t="shared" si="18"/>
        <v>18</v>
      </c>
      <c r="AP68" s="14">
        <f t="shared" si="5"/>
        <v>4.5</v>
      </c>
      <c r="AQ68" s="14"/>
      <c r="AS68" s="14">
        <f t="shared" si="6"/>
        <v>23.61</v>
      </c>
      <c r="AT68" s="13">
        <f t="shared" si="7"/>
        <v>276.39</v>
      </c>
      <c r="AU68" s="13">
        <f t="shared" si="8"/>
        <v>138.195</v>
      </c>
    </row>
    <row r="69" ht="15.75" customHeight="1">
      <c r="A69" s="9" t="s">
        <v>298</v>
      </c>
      <c r="B69" s="9">
        <v>20457.0</v>
      </c>
      <c r="C69" s="10" t="s">
        <v>161</v>
      </c>
      <c r="D69" s="9">
        <v>2938.0</v>
      </c>
      <c r="E69" s="9" t="s">
        <v>291</v>
      </c>
      <c r="F69" s="9" t="s">
        <v>88</v>
      </c>
      <c r="G69" s="11" t="s">
        <v>6</v>
      </c>
      <c r="H69" s="9" t="s">
        <v>216</v>
      </c>
      <c r="I69" s="9" t="s">
        <v>269</v>
      </c>
      <c r="J69" s="9" t="s">
        <v>216</v>
      </c>
      <c r="K69" s="9" t="s">
        <v>286</v>
      </c>
      <c r="L69" s="9" t="s">
        <v>135</v>
      </c>
      <c r="M69" s="9" t="s">
        <v>115</v>
      </c>
      <c r="N69" s="9">
        <v>85.0</v>
      </c>
      <c r="P69" s="9">
        <v>4.0</v>
      </c>
      <c r="Q69" s="13">
        <f t="shared" si="20"/>
        <v>340</v>
      </c>
      <c r="R69" s="13"/>
      <c r="S69" s="13">
        <v>14.09</v>
      </c>
      <c r="T69" s="13">
        <v>320.0</v>
      </c>
      <c r="U69" s="13">
        <f t="shared" si="2"/>
        <v>674.09</v>
      </c>
      <c r="V69" s="13">
        <f t="shared" si="3"/>
        <v>105.6</v>
      </c>
      <c r="W69" s="13">
        <f t="shared" si="4"/>
        <v>779.69</v>
      </c>
      <c r="Y69" s="9"/>
      <c r="Z69" s="29" t="s">
        <v>194</v>
      </c>
      <c r="AC69" s="9" t="s">
        <v>299</v>
      </c>
      <c r="AD69" s="27"/>
      <c r="AE69" s="28"/>
      <c r="AF69" s="9">
        <v>4.4</v>
      </c>
      <c r="AG69" s="9">
        <v>1.11</v>
      </c>
      <c r="AH69" s="9">
        <v>11.56</v>
      </c>
      <c r="AI69" s="9">
        <v>78.2</v>
      </c>
      <c r="AO69" s="14">
        <f t="shared" si="18"/>
        <v>40.4454</v>
      </c>
      <c r="AP69" s="14">
        <f t="shared" si="5"/>
        <v>10.11135</v>
      </c>
      <c r="AQ69" s="14"/>
      <c r="AS69" s="14">
        <f t="shared" si="6"/>
        <v>145.82675</v>
      </c>
      <c r="AT69" s="13">
        <f t="shared" si="7"/>
        <v>528.26325</v>
      </c>
      <c r="AU69" s="13">
        <f t="shared" si="8"/>
        <v>132.0658125</v>
      </c>
    </row>
    <row r="70" ht="15.75" customHeight="1">
      <c r="A70" s="9" t="s">
        <v>300</v>
      </c>
      <c r="B70" s="9">
        <v>20455.0</v>
      </c>
      <c r="C70" s="10" t="s">
        <v>161</v>
      </c>
      <c r="D70" s="9">
        <v>1000686.0</v>
      </c>
      <c r="E70" s="9" t="s">
        <v>244</v>
      </c>
      <c r="F70" s="9" t="s">
        <v>61</v>
      </c>
      <c r="G70" s="11" t="s">
        <v>6</v>
      </c>
      <c r="H70" s="9" t="s">
        <v>95</v>
      </c>
      <c r="I70" s="9" t="s">
        <v>260</v>
      </c>
      <c r="J70" s="9" t="s">
        <v>95</v>
      </c>
      <c r="K70" s="9" t="s">
        <v>286</v>
      </c>
      <c r="L70" s="9" t="s">
        <v>135</v>
      </c>
      <c r="M70" s="9" t="s">
        <v>115</v>
      </c>
      <c r="N70" s="9">
        <v>85.0</v>
      </c>
      <c r="P70" s="9">
        <v>3.0</v>
      </c>
      <c r="Q70" s="13">
        <f t="shared" si="20"/>
        <v>255</v>
      </c>
      <c r="R70" s="13"/>
      <c r="S70" s="13"/>
      <c r="T70" s="13"/>
      <c r="U70" s="13">
        <f t="shared" si="2"/>
        <v>255</v>
      </c>
      <c r="V70" s="13">
        <f t="shared" si="3"/>
        <v>40.8</v>
      </c>
      <c r="W70" s="13">
        <f t="shared" si="4"/>
        <v>295.8</v>
      </c>
      <c r="Y70" s="9"/>
      <c r="Z70" s="9"/>
      <c r="AD70" s="27">
        <v>1.0564912E7</v>
      </c>
      <c r="AE70" s="28" t="s">
        <v>301</v>
      </c>
      <c r="AF70" s="9">
        <v>4.43</v>
      </c>
      <c r="AG70" s="9">
        <v>1.11</v>
      </c>
      <c r="AI70" s="9">
        <v>40.8</v>
      </c>
      <c r="AM70" s="9">
        <v>3.6975</v>
      </c>
      <c r="AO70" s="14">
        <f t="shared" si="18"/>
        <v>15.3</v>
      </c>
      <c r="AP70" s="14">
        <f t="shared" si="5"/>
        <v>3.825</v>
      </c>
      <c r="AQ70" s="14"/>
      <c r="AS70" s="14">
        <f t="shared" si="6"/>
        <v>69.1625</v>
      </c>
      <c r="AT70" s="13">
        <f t="shared" si="7"/>
        <v>185.8375</v>
      </c>
      <c r="AU70" s="13">
        <f t="shared" si="8"/>
        <v>61.94583333</v>
      </c>
    </row>
    <row r="71" ht="15.75" customHeight="1">
      <c r="A71" s="9" t="s">
        <v>302</v>
      </c>
      <c r="B71" s="9">
        <v>20453.0</v>
      </c>
      <c r="C71" s="10" t="s">
        <v>161</v>
      </c>
      <c r="D71" s="9">
        <v>2940.0</v>
      </c>
      <c r="E71" s="9" t="s">
        <v>188</v>
      </c>
      <c r="F71" s="9" t="s">
        <v>61</v>
      </c>
      <c r="G71" s="11" t="s">
        <v>6</v>
      </c>
      <c r="H71" s="9" t="s">
        <v>212</v>
      </c>
      <c r="I71" s="9" t="s">
        <v>260</v>
      </c>
      <c r="J71" s="9" t="s">
        <v>108</v>
      </c>
      <c r="K71" s="9" t="s">
        <v>288</v>
      </c>
      <c r="L71" s="9" t="s">
        <v>159</v>
      </c>
      <c r="M71" s="9" t="s">
        <v>240</v>
      </c>
      <c r="N71" s="9">
        <v>230.0</v>
      </c>
      <c r="P71" s="9">
        <v>5.0</v>
      </c>
      <c r="Q71" s="13">
        <f t="shared" si="20"/>
        <v>1150</v>
      </c>
      <c r="R71" s="13"/>
      <c r="S71" s="13"/>
      <c r="T71" s="13"/>
      <c r="U71" s="13">
        <f t="shared" si="2"/>
        <v>1150</v>
      </c>
      <c r="V71" s="13">
        <f t="shared" si="3"/>
        <v>184</v>
      </c>
      <c r="W71" s="13">
        <f t="shared" si="4"/>
        <v>1334</v>
      </c>
      <c r="Y71" s="9">
        <v>5.7258382E7</v>
      </c>
      <c r="Z71" s="29" t="s">
        <v>303</v>
      </c>
      <c r="AG71" s="9">
        <v>1.11</v>
      </c>
      <c r="AK71" s="9">
        <v>57.5</v>
      </c>
      <c r="AO71" s="14">
        <f t="shared" si="18"/>
        <v>69</v>
      </c>
      <c r="AP71" s="14">
        <f t="shared" si="5"/>
        <v>17.25</v>
      </c>
      <c r="AQ71" s="14"/>
      <c r="AS71" s="14">
        <f t="shared" si="6"/>
        <v>144.86</v>
      </c>
      <c r="AT71" s="13">
        <f t="shared" si="7"/>
        <v>1005.14</v>
      </c>
      <c r="AU71" s="13">
        <f t="shared" si="8"/>
        <v>201.028</v>
      </c>
    </row>
    <row r="72" ht="15.75" customHeight="1">
      <c r="A72" s="9" t="s">
        <v>304</v>
      </c>
      <c r="B72" s="9">
        <v>20480.0</v>
      </c>
      <c r="C72" s="10" t="s">
        <v>161</v>
      </c>
      <c r="D72" s="9">
        <v>2941.0</v>
      </c>
      <c r="E72" s="9" t="s">
        <v>257</v>
      </c>
      <c r="F72" s="9" t="s">
        <v>88</v>
      </c>
      <c r="G72" s="11" t="s">
        <v>6</v>
      </c>
      <c r="H72" s="9" t="s">
        <v>212</v>
      </c>
      <c r="I72" s="9" t="s">
        <v>86</v>
      </c>
      <c r="J72" s="9" t="s">
        <v>212</v>
      </c>
      <c r="K72" s="9" t="s">
        <v>305</v>
      </c>
      <c r="L72" s="9" t="s">
        <v>96</v>
      </c>
      <c r="M72" s="9" t="s">
        <v>173</v>
      </c>
      <c r="N72" s="9">
        <v>110.0</v>
      </c>
      <c r="P72" s="9">
        <v>4.0</v>
      </c>
      <c r="Q72" s="13">
        <f t="shared" si="20"/>
        <v>440</v>
      </c>
      <c r="R72" s="13"/>
      <c r="S72" s="13"/>
      <c r="T72" s="13"/>
      <c r="U72" s="13">
        <f t="shared" si="2"/>
        <v>440</v>
      </c>
      <c r="V72" s="13">
        <f t="shared" si="3"/>
        <v>70.4</v>
      </c>
      <c r="W72" s="13">
        <f t="shared" si="4"/>
        <v>510.4</v>
      </c>
      <c r="AG72" s="9">
        <v>1.11</v>
      </c>
      <c r="AO72" s="14">
        <f t="shared" si="18"/>
        <v>26.4</v>
      </c>
      <c r="AP72" s="14">
        <f t="shared" si="5"/>
        <v>6.6</v>
      </c>
      <c r="AQ72" s="14"/>
      <c r="AS72" s="14">
        <f t="shared" si="6"/>
        <v>34.11</v>
      </c>
      <c r="AT72" s="13">
        <f t="shared" si="7"/>
        <v>405.89</v>
      </c>
      <c r="AU72" s="13">
        <f t="shared" si="8"/>
        <v>101.4725</v>
      </c>
    </row>
    <row r="73" ht="15.75" customHeight="1">
      <c r="A73" s="9" t="s">
        <v>306</v>
      </c>
      <c r="B73" s="9">
        <v>20458.0</v>
      </c>
      <c r="C73" s="10" t="s">
        <v>161</v>
      </c>
      <c r="D73" s="9">
        <v>1000689.0</v>
      </c>
      <c r="E73" s="9" t="s">
        <v>178</v>
      </c>
      <c r="F73" s="9" t="s">
        <v>61</v>
      </c>
      <c r="G73" s="11" t="s">
        <v>6</v>
      </c>
      <c r="H73" s="9" t="s">
        <v>145</v>
      </c>
      <c r="I73" s="9" t="s">
        <v>288</v>
      </c>
      <c r="J73" s="9" t="s">
        <v>108</v>
      </c>
      <c r="K73" s="9" t="s">
        <v>305</v>
      </c>
      <c r="L73" s="9" t="s">
        <v>74</v>
      </c>
      <c r="M73" s="9" t="s">
        <v>115</v>
      </c>
      <c r="N73" s="9">
        <v>53.0</v>
      </c>
      <c r="P73" s="9">
        <v>2.0</v>
      </c>
      <c r="Q73" s="13">
        <f t="shared" si="20"/>
        <v>106</v>
      </c>
      <c r="R73" s="13"/>
      <c r="S73" s="13"/>
      <c r="T73" s="13"/>
      <c r="U73" s="13">
        <f t="shared" si="2"/>
        <v>106</v>
      </c>
      <c r="V73" s="13">
        <f t="shared" si="3"/>
        <v>16.96</v>
      </c>
      <c r="W73" s="13">
        <f t="shared" si="4"/>
        <v>122.96</v>
      </c>
      <c r="AD73" s="27">
        <v>7560685.0</v>
      </c>
      <c r="AE73" s="28" t="s">
        <v>116</v>
      </c>
      <c r="AF73" s="9">
        <v>2.75</v>
      </c>
      <c r="AG73" s="9">
        <v>1.11</v>
      </c>
      <c r="AI73" s="9">
        <v>19.08</v>
      </c>
      <c r="AJ73" s="9">
        <v>2.12</v>
      </c>
      <c r="AO73" s="14">
        <f t="shared" si="18"/>
        <v>6.36</v>
      </c>
      <c r="AP73" s="14">
        <f t="shared" si="5"/>
        <v>1.59</v>
      </c>
      <c r="AQ73" s="14"/>
      <c r="AS73" s="14">
        <f t="shared" si="6"/>
        <v>33.01</v>
      </c>
      <c r="AT73" s="13">
        <f t="shared" si="7"/>
        <v>72.99</v>
      </c>
      <c r="AU73" s="13">
        <f t="shared" si="8"/>
        <v>36.495</v>
      </c>
    </row>
    <row r="74" ht="15.75" customHeight="1">
      <c r="A74" s="9" t="s">
        <v>307</v>
      </c>
      <c r="B74" s="9">
        <v>20459.0</v>
      </c>
      <c r="C74" s="10" t="s">
        <v>161</v>
      </c>
      <c r="D74" s="9">
        <v>2952.0</v>
      </c>
      <c r="E74" s="9" t="s">
        <v>215</v>
      </c>
      <c r="F74" s="9" t="s">
        <v>88</v>
      </c>
      <c r="G74" s="11" t="s">
        <v>6</v>
      </c>
      <c r="H74" s="9" t="s">
        <v>94</v>
      </c>
      <c r="I74" s="9" t="s">
        <v>305</v>
      </c>
      <c r="J74" s="9" t="s">
        <v>94</v>
      </c>
      <c r="K74" s="9" t="s">
        <v>305</v>
      </c>
      <c r="L74" s="9" t="s">
        <v>65</v>
      </c>
      <c r="M74" s="9" t="s">
        <v>173</v>
      </c>
      <c r="N74" s="9">
        <v>110.0</v>
      </c>
      <c r="P74" s="9">
        <v>1.0</v>
      </c>
      <c r="Q74" s="13">
        <f t="shared" si="20"/>
        <v>110</v>
      </c>
      <c r="R74" s="13"/>
      <c r="S74" s="13"/>
      <c r="T74" s="13">
        <v>15.0</v>
      </c>
      <c r="U74" s="13">
        <f t="shared" si="2"/>
        <v>125</v>
      </c>
      <c r="V74" s="13">
        <f t="shared" si="3"/>
        <v>20</v>
      </c>
      <c r="W74" s="13">
        <f t="shared" si="4"/>
        <v>145</v>
      </c>
      <c r="AG74" s="9">
        <v>1.11</v>
      </c>
      <c r="AO74" s="14">
        <f t="shared" si="18"/>
        <v>7.5</v>
      </c>
      <c r="AP74" s="14">
        <f t="shared" si="5"/>
        <v>1.875</v>
      </c>
      <c r="AQ74" s="14"/>
      <c r="AS74" s="14">
        <f t="shared" si="6"/>
        <v>10.485</v>
      </c>
      <c r="AT74" s="13">
        <f t="shared" si="7"/>
        <v>114.515</v>
      </c>
      <c r="AU74" s="13">
        <f t="shared" si="8"/>
        <v>114.515</v>
      </c>
    </row>
    <row r="75" ht="15.75" customHeight="1">
      <c r="A75" s="9" t="s">
        <v>308</v>
      </c>
      <c r="B75" s="9">
        <v>20479.0</v>
      </c>
      <c r="C75" s="10" t="s">
        <v>161</v>
      </c>
      <c r="D75" s="9">
        <v>1000694.0</v>
      </c>
      <c r="E75" s="9" t="s">
        <v>291</v>
      </c>
      <c r="F75" s="9" t="s">
        <v>61</v>
      </c>
      <c r="G75" s="11" t="s">
        <v>6</v>
      </c>
      <c r="H75" s="9" t="s">
        <v>145</v>
      </c>
      <c r="I75" s="9" t="s">
        <v>161</v>
      </c>
      <c r="J75" s="9" t="s">
        <v>101</v>
      </c>
      <c r="K75" s="9" t="s">
        <v>254</v>
      </c>
      <c r="L75" s="9" t="s">
        <v>74</v>
      </c>
      <c r="M75" s="9" t="s">
        <v>285</v>
      </c>
      <c r="N75" s="9">
        <v>53.0</v>
      </c>
      <c r="P75" s="9">
        <v>1.0</v>
      </c>
      <c r="Q75" s="13">
        <f t="shared" si="20"/>
        <v>53</v>
      </c>
      <c r="R75" s="13"/>
      <c r="S75" s="13">
        <v>0.19</v>
      </c>
      <c r="T75" s="13">
        <v>8.25</v>
      </c>
      <c r="U75" s="13">
        <f t="shared" si="2"/>
        <v>61.44</v>
      </c>
      <c r="V75" s="13">
        <f t="shared" si="3"/>
        <v>9.8</v>
      </c>
      <c r="W75" s="13">
        <f t="shared" si="4"/>
        <v>71.24</v>
      </c>
      <c r="AD75" s="27">
        <v>402102.0</v>
      </c>
      <c r="AE75" s="30" t="s">
        <v>309</v>
      </c>
      <c r="AG75" s="9">
        <v>1.11</v>
      </c>
      <c r="AO75" s="14">
        <f t="shared" si="18"/>
        <v>3.6864</v>
      </c>
      <c r="AP75" s="14">
        <f t="shared" si="5"/>
        <v>0.9216</v>
      </c>
      <c r="AQ75" s="14"/>
      <c r="AS75" s="14">
        <f t="shared" si="6"/>
        <v>5.718</v>
      </c>
      <c r="AT75" s="13">
        <f t="shared" si="7"/>
        <v>55.722</v>
      </c>
      <c r="AU75" s="13">
        <f t="shared" si="8"/>
        <v>55.722</v>
      </c>
    </row>
    <row r="76" ht="15.75" customHeight="1">
      <c r="C76" s="10"/>
      <c r="Q76" s="9">
        <f t="shared" si="20"/>
        <v>0</v>
      </c>
      <c r="U76" s="13">
        <f t="shared" si="2"/>
        <v>0</v>
      </c>
      <c r="V76" s="9">
        <f t="shared" si="3"/>
        <v>0</v>
      </c>
      <c r="W76" s="9">
        <f t="shared" si="4"/>
        <v>0</v>
      </c>
      <c r="AO76" s="14"/>
      <c r="AP76" s="14"/>
      <c r="AQ76" s="14"/>
    </row>
    <row r="77" ht="15.75" customHeight="1">
      <c r="C77" s="10"/>
      <c r="Q77" s="13">
        <f t="shared" ref="Q77:T77" si="21">SUM(Q2:Q76)</f>
        <v>52820.274</v>
      </c>
      <c r="R77" s="13">
        <f t="shared" si="21"/>
        <v>414.13</v>
      </c>
      <c r="S77" s="13">
        <f t="shared" si="21"/>
        <v>73.19</v>
      </c>
      <c r="T77" s="13">
        <f t="shared" si="21"/>
        <v>6016.35</v>
      </c>
      <c r="U77" s="13">
        <f t="shared" si="2"/>
        <v>59323.944</v>
      </c>
      <c r="V77" s="13">
        <f t="shared" ref="V77:W77" si="22">SUM(V2:V76)</f>
        <v>9446.99024</v>
      </c>
      <c r="W77" s="13">
        <f t="shared" si="22"/>
        <v>68770.93424</v>
      </c>
      <c r="AF77" s="9">
        <f t="shared" ref="AF77:AT77" si="23">SUM(AF2:AF76)</f>
        <v>105.7</v>
      </c>
      <c r="AG77" s="9">
        <f t="shared" si="23"/>
        <v>93.73</v>
      </c>
      <c r="AH77" s="9">
        <f t="shared" si="23"/>
        <v>85.19</v>
      </c>
      <c r="AI77" s="9">
        <f t="shared" si="23"/>
        <v>1985.14</v>
      </c>
      <c r="AJ77" s="9">
        <f t="shared" si="23"/>
        <v>129.58</v>
      </c>
      <c r="AK77" s="9">
        <f t="shared" si="23"/>
        <v>288.3</v>
      </c>
      <c r="AL77" s="9">
        <f t="shared" si="23"/>
        <v>1.18</v>
      </c>
      <c r="AM77" s="9">
        <f t="shared" si="23"/>
        <v>65.5545</v>
      </c>
      <c r="AN77" s="9">
        <f t="shared" si="23"/>
        <v>100.09399</v>
      </c>
      <c r="AO77" s="14">
        <f t="shared" si="23"/>
        <v>3225.75024</v>
      </c>
      <c r="AP77" s="14">
        <f t="shared" si="23"/>
        <v>806.43756</v>
      </c>
      <c r="AQ77" s="14">
        <f t="shared" si="23"/>
        <v>310.3438016</v>
      </c>
      <c r="AR77" s="9">
        <f t="shared" si="23"/>
        <v>764.39</v>
      </c>
      <c r="AS77" s="14">
        <f t="shared" si="23"/>
        <v>7961.390092</v>
      </c>
      <c r="AT77" s="13">
        <f t="shared" si="23"/>
        <v>51362.55391</v>
      </c>
    </row>
    <row r="78" ht="15.75" customHeight="1">
      <c r="C78" s="10"/>
      <c r="Q78" s="9">
        <f t="shared" ref="Q78:Q110" si="24">N78*P78</f>
        <v>0</v>
      </c>
      <c r="U78" s="13">
        <f t="shared" si="2"/>
        <v>0</v>
      </c>
      <c r="V78" s="9">
        <f t="shared" ref="V78:V81" si="25">(Q78*0.16)+(T78*0.16)+(R78*0.08)</f>
        <v>0</v>
      </c>
      <c r="W78" s="13">
        <f>Q78+R78+S77+T78+V78</f>
        <v>73.19</v>
      </c>
    </row>
    <row r="79" ht="15.75" customHeight="1">
      <c r="C79" s="10"/>
      <c r="Q79" s="9">
        <f t="shared" si="24"/>
        <v>0</v>
      </c>
      <c r="U79" s="13">
        <f t="shared" si="2"/>
        <v>0</v>
      </c>
      <c r="V79" s="9">
        <f t="shared" si="25"/>
        <v>0</v>
      </c>
      <c r="W79" s="9">
        <f t="shared" ref="W79:W81" si="26">Q79+R79+S79+T79+V79</f>
        <v>0</v>
      </c>
    </row>
    <row r="80" ht="15.75" customHeight="1">
      <c r="C80" s="10"/>
      <c r="Q80" s="9">
        <f t="shared" si="24"/>
        <v>0</v>
      </c>
      <c r="U80" s="13">
        <f t="shared" si="2"/>
        <v>0</v>
      </c>
      <c r="V80" s="9">
        <f t="shared" si="25"/>
        <v>0</v>
      </c>
      <c r="W80" s="9">
        <f t="shared" si="26"/>
        <v>0</v>
      </c>
    </row>
    <row r="81" ht="15.75" customHeight="1">
      <c r="A81" s="9" t="s">
        <v>310</v>
      </c>
      <c r="C81" s="10"/>
      <c r="F81" s="9" t="s">
        <v>61</v>
      </c>
      <c r="G81" s="11" t="s">
        <v>6</v>
      </c>
      <c r="I81" s="9" t="s">
        <v>311</v>
      </c>
      <c r="K81" s="9" t="s">
        <v>228</v>
      </c>
      <c r="L81" s="9" t="s">
        <v>312</v>
      </c>
      <c r="N81" s="9">
        <v>44.0</v>
      </c>
      <c r="P81" s="9">
        <v>30.0</v>
      </c>
      <c r="Q81" s="9">
        <f t="shared" si="24"/>
        <v>1320</v>
      </c>
      <c r="U81" s="13">
        <f t="shared" si="2"/>
        <v>1320</v>
      </c>
      <c r="V81" s="9">
        <f t="shared" si="25"/>
        <v>211.2</v>
      </c>
      <c r="W81" s="9">
        <f t="shared" si="26"/>
        <v>1531.2</v>
      </c>
      <c r="AF81" s="9">
        <v>4.43</v>
      </c>
      <c r="AG81" s="9">
        <v>1.11</v>
      </c>
    </row>
    <row r="82" ht="15.75" customHeight="1">
      <c r="A82" s="31" t="s">
        <v>313</v>
      </c>
      <c r="B82" s="31"/>
      <c r="C82" s="32"/>
      <c r="D82" s="31"/>
      <c r="E82" s="31"/>
      <c r="F82" s="31" t="s">
        <v>88</v>
      </c>
      <c r="G82" s="11" t="s">
        <v>6</v>
      </c>
      <c r="H82" s="31"/>
      <c r="I82" s="33">
        <v>44908.0</v>
      </c>
      <c r="J82" s="31"/>
      <c r="K82" s="34">
        <v>44564.0</v>
      </c>
      <c r="L82" s="31" t="s">
        <v>135</v>
      </c>
      <c r="M82" s="31"/>
      <c r="N82" s="32">
        <v>80.75</v>
      </c>
      <c r="O82" s="31"/>
      <c r="P82" s="32">
        <v>21.0</v>
      </c>
      <c r="Q82" s="32">
        <f t="shared" si="24"/>
        <v>1695.75</v>
      </c>
      <c r="R82" s="31"/>
      <c r="S82" s="31"/>
      <c r="T82" s="31"/>
      <c r="U82" s="13">
        <f t="shared" si="2"/>
        <v>1695.75</v>
      </c>
      <c r="V82" s="35">
        <f t="shared" ref="V82:V110" si="27">Q82*0.16</f>
        <v>271.32</v>
      </c>
      <c r="W82" s="35">
        <f t="shared" ref="W82:W110" si="28">Q82+V82</f>
        <v>1967.07</v>
      </c>
      <c r="X82" s="31"/>
      <c r="Y82" s="31"/>
      <c r="Z82" s="31"/>
      <c r="AA82" s="31"/>
      <c r="AB82" s="31"/>
      <c r="AC82" s="31"/>
      <c r="AD82" s="31"/>
      <c r="AE82" s="31"/>
      <c r="AF82" s="31">
        <v>2.75</v>
      </c>
      <c r="AG82" s="32">
        <v>1.11</v>
      </c>
      <c r="AH82" s="31"/>
    </row>
    <row r="83" ht="15.75" customHeight="1">
      <c r="A83" s="9" t="s">
        <v>314</v>
      </c>
      <c r="C83" s="10"/>
      <c r="F83" s="9" t="s">
        <v>61</v>
      </c>
      <c r="G83" s="11" t="s">
        <v>6</v>
      </c>
      <c r="I83" s="9" t="s">
        <v>315</v>
      </c>
      <c r="K83" s="9" t="s">
        <v>264</v>
      </c>
      <c r="L83" s="9" t="s">
        <v>316</v>
      </c>
      <c r="N83" s="9">
        <v>45.0</v>
      </c>
      <c r="P83" s="9">
        <v>35.0</v>
      </c>
      <c r="Q83" s="32">
        <f t="shared" si="24"/>
        <v>1575</v>
      </c>
      <c r="U83" s="13">
        <f t="shared" si="2"/>
        <v>1575</v>
      </c>
      <c r="V83" s="35">
        <f t="shared" si="27"/>
        <v>252</v>
      </c>
      <c r="W83" s="35">
        <f t="shared" si="28"/>
        <v>1827</v>
      </c>
      <c r="AF83" s="9">
        <v>2.75</v>
      </c>
      <c r="AG83" s="9">
        <v>1.11</v>
      </c>
    </row>
    <row r="84" ht="15.75" customHeight="1">
      <c r="A84" s="9" t="s">
        <v>317</v>
      </c>
      <c r="C84" s="10"/>
      <c r="F84" s="9" t="s">
        <v>61</v>
      </c>
      <c r="G84" s="11" t="s">
        <v>6</v>
      </c>
      <c r="I84" s="9" t="s">
        <v>318</v>
      </c>
      <c r="K84" s="12">
        <v>45017.0</v>
      </c>
      <c r="L84" s="9" t="s">
        <v>65</v>
      </c>
      <c r="N84" s="9">
        <v>104.5</v>
      </c>
      <c r="P84" s="9">
        <v>15.0</v>
      </c>
      <c r="Q84" s="32">
        <f t="shared" si="24"/>
        <v>1567.5</v>
      </c>
      <c r="U84" s="13">
        <f t="shared" si="2"/>
        <v>1567.5</v>
      </c>
      <c r="V84" s="35">
        <f t="shared" si="27"/>
        <v>250.8</v>
      </c>
      <c r="W84" s="35">
        <f t="shared" si="28"/>
        <v>1818.3</v>
      </c>
      <c r="AF84" s="9">
        <v>4.26</v>
      </c>
      <c r="AG84" s="9">
        <v>1.11</v>
      </c>
    </row>
    <row r="85" ht="15.75" customHeight="1">
      <c r="A85" s="36" t="s">
        <v>319</v>
      </c>
      <c r="B85" s="36"/>
      <c r="C85" s="37"/>
      <c r="D85" s="36"/>
      <c r="E85" s="36"/>
      <c r="F85" s="36" t="s">
        <v>61</v>
      </c>
      <c r="G85" s="11" t="s">
        <v>6</v>
      </c>
      <c r="H85" s="36"/>
      <c r="I85" s="36" t="s">
        <v>320</v>
      </c>
      <c r="J85" s="36"/>
      <c r="K85" s="38">
        <v>45047.0</v>
      </c>
      <c r="L85" s="36" t="s">
        <v>312</v>
      </c>
      <c r="M85" s="36"/>
      <c r="N85" s="37">
        <v>56.05</v>
      </c>
      <c r="O85" s="36"/>
      <c r="P85" s="37">
        <v>20.0</v>
      </c>
      <c r="Q85" s="32">
        <f t="shared" si="24"/>
        <v>1121</v>
      </c>
      <c r="R85" s="36"/>
      <c r="S85" s="36"/>
      <c r="T85" s="36"/>
      <c r="U85" s="13">
        <f t="shared" si="2"/>
        <v>1121</v>
      </c>
      <c r="V85" s="35">
        <f t="shared" si="27"/>
        <v>179.36</v>
      </c>
      <c r="W85" s="35">
        <f t="shared" si="28"/>
        <v>1300.36</v>
      </c>
      <c r="X85" s="37"/>
      <c r="Y85" s="36"/>
      <c r="Z85" s="36"/>
      <c r="AA85" s="36"/>
      <c r="AB85" s="36"/>
      <c r="AC85" s="36"/>
      <c r="AD85" s="36"/>
      <c r="AE85" s="36"/>
      <c r="AF85" s="36">
        <v>4.26</v>
      </c>
      <c r="AG85" s="36">
        <v>1.11</v>
      </c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</row>
    <row r="86" ht="15.75" customHeight="1">
      <c r="A86" s="9" t="s">
        <v>321</v>
      </c>
      <c r="C86" s="10"/>
      <c r="F86" s="9" t="s">
        <v>88</v>
      </c>
      <c r="G86" s="11" t="s">
        <v>6</v>
      </c>
      <c r="I86" s="12">
        <v>44785.0</v>
      </c>
      <c r="K86" s="12">
        <v>44986.0</v>
      </c>
      <c r="L86" s="9" t="s">
        <v>96</v>
      </c>
      <c r="N86" s="9">
        <v>104.5</v>
      </c>
      <c r="P86" s="9">
        <v>25.0</v>
      </c>
      <c r="Q86" s="32">
        <f t="shared" si="24"/>
        <v>2612.5</v>
      </c>
      <c r="U86" s="13">
        <f t="shared" si="2"/>
        <v>2612.5</v>
      </c>
      <c r="V86" s="35">
        <f t="shared" si="27"/>
        <v>418</v>
      </c>
      <c r="W86" s="35">
        <f t="shared" si="28"/>
        <v>3030.5</v>
      </c>
      <c r="AF86" s="9">
        <v>4.26</v>
      </c>
      <c r="AG86" s="9">
        <v>1.11</v>
      </c>
    </row>
    <row r="87" ht="15.75" customHeight="1">
      <c r="A87" s="9" t="s">
        <v>322</v>
      </c>
      <c r="C87" s="10"/>
      <c r="F87" s="9" t="s">
        <v>88</v>
      </c>
      <c r="G87" s="11" t="s">
        <v>6</v>
      </c>
      <c r="I87" s="9" t="s">
        <v>320</v>
      </c>
      <c r="K87" s="12">
        <v>45017.0</v>
      </c>
      <c r="L87" s="9" t="s">
        <v>316</v>
      </c>
      <c r="N87" s="9">
        <v>58.9</v>
      </c>
      <c r="P87" s="9">
        <v>19.0</v>
      </c>
      <c r="Q87" s="32">
        <f t="shared" si="24"/>
        <v>1119.1</v>
      </c>
      <c r="U87" s="13">
        <f t="shared" si="2"/>
        <v>1119.1</v>
      </c>
      <c r="V87" s="35">
        <f t="shared" si="27"/>
        <v>179.056</v>
      </c>
      <c r="W87" s="35">
        <f t="shared" si="28"/>
        <v>1298.156</v>
      </c>
      <c r="AG87" s="9">
        <v>1.11</v>
      </c>
    </row>
    <row r="88" ht="15.75" customHeight="1">
      <c r="A88" s="9" t="s">
        <v>323</v>
      </c>
      <c r="C88" s="10"/>
      <c r="F88" s="9" t="s">
        <v>61</v>
      </c>
      <c r="G88" s="11" t="s">
        <v>6</v>
      </c>
      <c r="I88" s="9" t="s">
        <v>320</v>
      </c>
      <c r="K88" s="12">
        <v>45047.0</v>
      </c>
      <c r="L88" s="9" t="s">
        <v>135</v>
      </c>
      <c r="N88" s="9">
        <v>80.75</v>
      </c>
      <c r="P88" s="9">
        <v>20.0</v>
      </c>
      <c r="Q88" s="32">
        <f t="shared" si="24"/>
        <v>1615</v>
      </c>
      <c r="U88" s="13">
        <f t="shared" si="2"/>
        <v>1615</v>
      </c>
      <c r="V88" s="35">
        <f t="shared" si="27"/>
        <v>258.4</v>
      </c>
      <c r="W88" s="35">
        <f t="shared" si="28"/>
        <v>1873.4</v>
      </c>
      <c r="AG88" s="9">
        <v>1.11</v>
      </c>
    </row>
    <row r="89" ht="15.75" customHeight="1">
      <c r="A89" s="9" t="s">
        <v>324</v>
      </c>
      <c r="C89" s="10"/>
      <c r="F89" s="9" t="s">
        <v>61</v>
      </c>
      <c r="G89" s="11" t="s">
        <v>6</v>
      </c>
      <c r="I89" s="9" t="s">
        <v>320</v>
      </c>
      <c r="K89" s="9" t="s">
        <v>325</v>
      </c>
      <c r="L89" s="9" t="s">
        <v>135</v>
      </c>
      <c r="N89" s="9">
        <v>85.0</v>
      </c>
      <c r="P89" s="9">
        <v>2.0</v>
      </c>
      <c r="Q89" s="32">
        <f t="shared" si="24"/>
        <v>170</v>
      </c>
      <c r="U89" s="13">
        <f t="shared" si="2"/>
        <v>170</v>
      </c>
      <c r="V89" s="35">
        <f t="shared" si="27"/>
        <v>27.2</v>
      </c>
      <c r="W89" s="35">
        <f t="shared" si="28"/>
        <v>197.2</v>
      </c>
      <c r="AG89" s="9">
        <v>1.11</v>
      </c>
    </row>
    <row r="90" ht="15.75" customHeight="1">
      <c r="A90" s="9" t="s">
        <v>326</v>
      </c>
      <c r="C90" s="10"/>
      <c r="F90" s="9" t="s">
        <v>61</v>
      </c>
      <c r="G90" s="11" t="s">
        <v>6</v>
      </c>
      <c r="I90" s="9" t="s">
        <v>320</v>
      </c>
      <c r="K90" s="12">
        <v>44835.0</v>
      </c>
      <c r="L90" s="9" t="s">
        <v>135</v>
      </c>
      <c r="N90" s="9">
        <v>80.75</v>
      </c>
      <c r="P90" s="9">
        <v>25.0</v>
      </c>
      <c r="Q90" s="32">
        <f t="shared" si="24"/>
        <v>2018.75</v>
      </c>
      <c r="U90" s="13">
        <f t="shared" si="2"/>
        <v>2018.75</v>
      </c>
      <c r="V90" s="35">
        <f t="shared" si="27"/>
        <v>323</v>
      </c>
      <c r="W90" s="35">
        <f t="shared" si="28"/>
        <v>2341.75</v>
      </c>
      <c r="AG90" s="9">
        <v>1.11</v>
      </c>
    </row>
    <row r="91" ht="15.75" customHeight="1">
      <c r="A91" s="9" t="s">
        <v>327</v>
      </c>
      <c r="C91" s="10"/>
      <c r="F91" s="9" t="s">
        <v>61</v>
      </c>
      <c r="G91" s="11" t="s">
        <v>6</v>
      </c>
      <c r="I91" s="12">
        <v>44604.0</v>
      </c>
      <c r="K91" s="12">
        <v>44774.0</v>
      </c>
      <c r="L91" s="9" t="s">
        <v>51</v>
      </c>
      <c r="N91" s="9">
        <v>85.0</v>
      </c>
      <c r="P91" s="9">
        <v>37.0</v>
      </c>
      <c r="Q91" s="32">
        <f t="shared" si="24"/>
        <v>3145</v>
      </c>
      <c r="U91" s="13">
        <f t="shared" si="2"/>
        <v>3145</v>
      </c>
      <c r="V91" s="35">
        <f t="shared" si="27"/>
        <v>503.2</v>
      </c>
      <c r="W91" s="35">
        <f t="shared" si="28"/>
        <v>3648.2</v>
      </c>
      <c r="AG91" s="9">
        <v>1.11</v>
      </c>
    </row>
    <row r="92" ht="15.75" customHeight="1">
      <c r="A92" s="31" t="s">
        <v>328</v>
      </c>
      <c r="B92" s="31"/>
      <c r="C92" s="32"/>
      <c r="D92" s="31"/>
      <c r="E92" s="31"/>
      <c r="F92" s="31" t="s">
        <v>61</v>
      </c>
      <c r="G92" s="11" t="s">
        <v>6</v>
      </c>
      <c r="Q92" s="32">
        <f t="shared" si="24"/>
        <v>0</v>
      </c>
      <c r="U92" s="13">
        <f t="shared" si="2"/>
        <v>0</v>
      </c>
      <c r="V92" s="35">
        <f t="shared" si="27"/>
        <v>0</v>
      </c>
      <c r="W92" s="35">
        <f t="shared" si="28"/>
        <v>0</v>
      </c>
    </row>
    <row r="93" ht="15.75" customHeight="1">
      <c r="A93" s="9" t="s">
        <v>329</v>
      </c>
      <c r="C93" s="10"/>
      <c r="F93" s="9" t="s">
        <v>88</v>
      </c>
      <c r="G93" s="11" t="s">
        <v>6</v>
      </c>
      <c r="I93" s="9" t="s">
        <v>228</v>
      </c>
      <c r="K93" s="9" t="s">
        <v>264</v>
      </c>
      <c r="L93" s="9" t="s">
        <v>135</v>
      </c>
      <c r="N93" s="9">
        <v>85.0</v>
      </c>
      <c r="P93" s="9">
        <v>2.0</v>
      </c>
      <c r="Q93" s="32">
        <f t="shared" si="24"/>
        <v>170</v>
      </c>
      <c r="U93" s="13">
        <f t="shared" si="2"/>
        <v>170</v>
      </c>
      <c r="V93" s="35">
        <f t="shared" si="27"/>
        <v>27.2</v>
      </c>
      <c r="W93" s="35">
        <f t="shared" si="28"/>
        <v>197.2</v>
      </c>
      <c r="AF93" s="9">
        <v>2.75</v>
      </c>
      <c r="AG93" s="9">
        <v>1.11</v>
      </c>
    </row>
    <row r="94" ht="15.75" customHeight="1">
      <c r="A94" s="9" t="s">
        <v>330</v>
      </c>
      <c r="C94" s="10"/>
      <c r="F94" s="9" t="s">
        <v>61</v>
      </c>
      <c r="G94" s="11" t="s">
        <v>6</v>
      </c>
      <c r="I94" s="9" t="s">
        <v>228</v>
      </c>
      <c r="K94" s="9" t="s">
        <v>181</v>
      </c>
      <c r="L94" s="9" t="s">
        <v>135</v>
      </c>
      <c r="N94" s="9">
        <v>85.0</v>
      </c>
      <c r="P94" s="9">
        <v>1.0</v>
      </c>
      <c r="Q94" s="32">
        <f t="shared" si="24"/>
        <v>85</v>
      </c>
      <c r="U94" s="13">
        <f t="shared" si="2"/>
        <v>85</v>
      </c>
      <c r="V94" s="35">
        <f t="shared" si="27"/>
        <v>13.6</v>
      </c>
      <c r="W94" s="35">
        <f t="shared" si="28"/>
        <v>98.6</v>
      </c>
      <c r="AF94" s="9">
        <v>2.75</v>
      </c>
      <c r="AG94" s="9">
        <v>1.11</v>
      </c>
    </row>
    <row r="95" ht="15.75" customHeight="1">
      <c r="A95" s="9" t="s">
        <v>331</v>
      </c>
      <c r="C95" s="10"/>
      <c r="F95" s="9" t="s">
        <v>61</v>
      </c>
      <c r="G95" s="11" t="s">
        <v>6</v>
      </c>
      <c r="I95" s="9" t="s">
        <v>264</v>
      </c>
      <c r="K95" s="9" t="s">
        <v>261</v>
      </c>
      <c r="L95" s="9" t="s">
        <v>135</v>
      </c>
      <c r="N95" s="9">
        <v>85.0</v>
      </c>
      <c r="P95" s="9">
        <v>2.0</v>
      </c>
      <c r="Q95" s="32">
        <f t="shared" si="24"/>
        <v>170</v>
      </c>
      <c r="U95" s="13">
        <f t="shared" si="2"/>
        <v>170</v>
      </c>
      <c r="V95" s="35">
        <f t="shared" si="27"/>
        <v>27.2</v>
      </c>
      <c r="W95" s="35">
        <f t="shared" si="28"/>
        <v>197.2</v>
      </c>
      <c r="AF95" s="9">
        <v>2.75</v>
      </c>
      <c r="AG95" s="9">
        <v>1.11</v>
      </c>
    </row>
    <row r="96" ht="15.75" customHeight="1">
      <c r="A96" s="9" t="s">
        <v>332</v>
      </c>
      <c r="C96" s="10"/>
      <c r="F96" s="9" t="s">
        <v>88</v>
      </c>
      <c r="G96" s="11" t="s">
        <v>6</v>
      </c>
      <c r="I96" s="9" t="s">
        <v>286</v>
      </c>
      <c r="K96" s="9" t="s">
        <v>288</v>
      </c>
      <c r="L96" s="9" t="s">
        <v>312</v>
      </c>
      <c r="N96" s="9">
        <v>59.0</v>
      </c>
      <c r="P96" s="9">
        <v>1.0</v>
      </c>
      <c r="Q96" s="32">
        <f t="shared" si="24"/>
        <v>59</v>
      </c>
      <c r="U96" s="13">
        <f t="shared" si="2"/>
        <v>59</v>
      </c>
      <c r="V96" s="35">
        <f t="shared" si="27"/>
        <v>9.44</v>
      </c>
      <c r="W96" s="35">
        <f t="shared" si="28"/>
        <v>68.44</v>
      </c>
      <c r="AF96" s="9">
        <v>2.75</v>
      </c>
      <c r="AG96" s="9">
        <v>1.11</v>
      </c>
    </row>
    <row r="97" ht="15.75" customHeight="1">
      <c r="A97" s="9" t="s">
        <v>333</v>
      </c>
      <c r="C97" s="10"/>
      <c r="F97" s="9" t="s">
        <v>61</v>
      </c>
      <c r="G97" s="11" t="s">
        <v>6</v>
      </c>
      <c r="I97" s="9" t="s">
        <v>64</v>
      </c>
      <c r="K97" s="9" t="s">
        <v>59</v>
      </c>
      <c r="L97" s="9" t="s">
        <v>51</v>
      </c>
      <c r="N97" s="9">
        <v>150.0</v>
      </c>
      <c r="P97" s="9">
        <v>2.0</v>
      </c>
      <c r="Q97" s="32">
        <f t="shared" si="24"/>
        <v>300</v>
      </c>
      <c r="U97" s="13">
        <f t="shared" si="2"/>
        <v>300</v>
      </c>
      <c r="V97" s="35">
        <f t="shared" si="27"/>
        <v>48</v>
      </c>
      <c r="W97" s="35">
        <f t="shared" si="28"/>
        <v>348</v>
      </c>
      <c r="AF97" s="9">
        <v>4.4</v>
      </c>
      <c r="AG97" s="9">
        <v>1.11</v>
      </c>
    </row>
    <row r="98" ht="15.75" customHeight="1">
      <c r="A98" s="9" t="s">
        <v>334</v>
      </c>
      <c r="C98" s="10"/>
      <c r="F98" s="9" t="s">
        <v>61</v>
      </c>
      <c r="G98" s="11" t="s">
        <v>6</v>
      </c>
      <c r="I98" s="12">
        <v>45108.0</v>
      </c>
      <c r="K98" s="9" t="s">
        <v>242</v>
      </c>
      <c r="L98" s="9" t="s">
        <v>312</v>
      </c>
      <c r="N98" s="9">
        <v>59.0</v>
      </c>
      <c r="P98" s="9">
        <v>6.0</v>
      </c>
      <c r="Q98" s="32">
        <f t="shared" si="24"/>
        <v>354</v>
      </c>
      <c r="U98" s="13">
        <f t="shared" si="2"/>
        <v>354</v>
      </c>
      <c r="V98" s="35">
        <f t="shared" si="27"/>
        <v>56.64</v>
      </c>
      <c r="W98" s="35">
        <f t="shared" si="28"/>
        <v>410.64</v>
      </c>
      <c r="AF98" s="9">
        <v>4.4</v>
      </c>
      <c r="AG98" s="9">
        <v>1.11</v>
      </c>
    </row>
    <row r="99" ht="15.75" customHeight="1">
      <c r="A99" s="9" t="s">
        <v>335</v>
      </c>
      <c r="C99" s="10"/>
      <c r="F99" s="9" t="s">
        <v>88</v>
      </c>
      <c r="G99" s="11" t="s">
        <v>6</v>
      </c>
      <c r="I99" s="9" t="s">
        <v>86</v>
      </c>
      <c r="K99" s="9" t="s">
        <v>92</v>
      </c>
      <c r="L99" s="9" t="s">
        <v>74</v>
      </c>
      <c r="N99" s="9">
        <v>53.0</v>
      </c>
      <c r="P99" s="9">
        <v>1.0</v>
      </c>
      <c r="Q99" s="32">
        <f t="shared" si="24"/>
        <v>53</v>
      </c>
      <c r="U99" s="13">
        <f t="shared" si="2"/>
        <v>53</v>
      </c>
      <c r="V99" s="35">
        <f t="shared" si="27"/>
        <v>8.48</v>
      </c>
      <c r="W99" s="35">
        <f t="shared" si="28"/>
        <v>61.48</v>
      </c>
      <c r="AF99" s="9">
        <v>4.4</v>
      </c>
      <c r="AG99" s="9">
        <v>1.11</v>
      </c>
    </row>
    <row r="100" ht="15.75" customHeight="1">
      <c r="A100" s="9" t="s">
        <v>336</v>
      </c>
      <c r="C100" s="10"/>
      <c r="F100" s="9" t="s">
        <v>61</v>
      </c>
      <c r="G100" s="11" t="s">
        <v>6</v>
      </c>
      <c r="I100" s="9" t="s">
        <v>286</v>
      </c>
      <c r="K100" s="9" t="s">
        <v>286</v>
      </c>
      <c r="L100" s="9" t="s">
        <v>51</v>
      </c>
      <c r="N100" s="9">
        <v>150.0</v>
      </c>
      <c r="P100" s="9">
        <v>1.0</v>
      </c>
      <c r="Q100" s="32">
        <f t="shared" si="24"/>
        <v>150</v>
      </c>
      <c r="U100" s="13">
        <f t="shared" si="2"/>
        <v>150</v>
      </c>
      <c r="V100" s="35">
        <f t="shared" si="27"/>
        <v>24</v>
      </c>
      <c r="W100" s="35">
        <f t="shared" si="28"/>
        <v>174</v>
      </c>
      <c r="AF100" s="9">
        <v>4.4</v>
      </c>
      <c r="AG100" s="9">
        <v>1.11</v>
      </c>
    </row>
    <row r="101" ht="15.75" customHeight="1">
      <c r="A101" s="9" t="s">
        <v>337</v>
      </c>
      <c r="C101" s="10"/>
      <c r="F101" s="9" t="s">
        <v>88</v>
      </c>
      <c r="G101" s="11" t="s">
        <v>6</v>
      </c>
      <c r="I101" s="9" t="s">
        <v>113</v>
      </c>
      <c r="K101" s="12">
        <v>44958.0</v>
      </c>
      <c r="L101" s="9" t="s">
        <v>135</v>
      </c>
      <c r="N101" s="9">
        <v>82.88</v>
      </c>
      <c r="P101" s="9">
        <v>7.0</v>
      </c>
      <c r="Q101" s="32">
        <f t="shared" si="24"/>
        <v>580.16</v>
      </c>
      <c r="U101" s="13">
        <f t="shared" si="2"/>
        <v>580.16</v>
      </c>
      <c r="V101" s="35">
        <f t="shared" si="27"/>
        <v>92.8256</v>
      </c>
      <c r="W101" s="35">
        <f t="shared" si="28"/>
        <v>672.9856</v>
      </c>
      <c r="AG101" s="9">
        <v>1.11</v>
      </c>
    </row>
    <row r="102" ht="15.75" customHeight="1">
      <c r="A102" s="9" t="s">
        <v>338</v>
      </c>
      <c r="C102" s="10"/>
      <c r="F102" s="9" t="s">
        <v>61</v>
      </c>
      <c r="G102" s="11" t="s">
        <v>6</v>
      </c>
      <c r="I102" s="12">
        <v>45047.0</v>
      </c>
      <c r="K102" s="12">
        <v>45200.0</v>
      </c>
      <c r="L102" s="9" t="s">
        <v>74</v>
      </c>
      <c r="N102" s="9">
        <v>53.0</v>
      </c>
      <c r="P102" s="9">
        <v>6.0</v>
      </c>
      <c r="Q102" s="32">
        <f t="shared" si="24"/>
        <v>318</v>
      </c>
      <c r="U102" s="13">
        <f t="shared" si="2"/>
        <v>318</v>
      </c>
      <c r="V102" s="35">
        <f t="shared" si="27"/>
        <v>50.88</v>
      </c>
      <c r="W102" s="35">
        <f t="shared" si="28"/>
        <v>368.88</v>
      </c>
      <c r="AG102" s="9">
        <v>1.11</v>
      </c>
    </row>
    <row r="103" ht="15.75" customHeight="1">
      <c r="A103" s="39" t="s">
        <v>339</v>
      </c>
      <c r="C103" s="10"/>
      <c r="F103" s="9" t="s">
        <v>88</v>
      </c>
      <c r="G103" s="11" t="s">
        <v>6</v>
      </c>
      <c r="I103" s="9" t="s">
        <v>261</v>
      </c>
      <c r="K103" s="9" t="s">
        <v>269</v>
      </c>
      <c r="L103" s="9" t="s">
        <v>135</v>
      </c>
      <c r="N103" s="9">
        <v>85.0</v>
      </c>
      <c r="P103" s="9">
        <v>3.0</v>
      </c>
      <c r="Q103" s="32">
        <f t="shared" si="24"/>
        <v>255</v>
      </c>
      <c r="U103" s="13">
        <f t="shared" si="2"/>
        <v>255</v>
      </c>
      <c r="V103" s="35">
        <f t="shared" si="27"/>
        <v>40.8</v>
      </c>
      <c r="W103" s="35">
        <f t="shared" si="28"/>
        <v>295.8</v>
      </c>
      <c r="AG103" s="9">
        <v>1.11</v>
      </c>
    </row>
    <row r="104" ht="15.75" customHeight="1">
      <c r="A104" s="40" t="s">
        <v>340</v>
      </c>
      <c r="C104" s="10"/>
      <c r="F104" s="9" t="s">
        <v>61</v>
      </c>
      <c r="G104" s="11" t="s">
        <v>6</v>
      </c>
      <c r="I104" s="9" t="s">
        <v>269</v>
      </c>
      <c r="K104" s="9" t="s">
        <v>288</v>
      </c>
      <c r="L104" s="9" t="s">
        <v>96</v>
      </c>
      <c r="N104" s="9">
        <v>110.0</v>
      </c>
      <c r="P104" s="9">
        <v>5.0</v>
      </c>
      <c r="Q104" s="32">
        <f t="shared" si="24"/>
        <v>550</v>
      </c>
      <c r="U104" s="13">
        <f t="shared" si="2"/>
        <v>550</v>
      </c>
      <c r="V104" s="35">
        <f t="shared" si="27"/>
        <v>88</v>
      </c>
      <c r="W104" s="35">
        <f t="shared" si="28"/>
        <v>638</v>
      </c>
      <c r="AG104" s="9">
        <v>1.11</v>
      </c>
    </row>
    <row r="105" ht="15.75" customHeight="1">
      <c r="A105" s="40" t="s">
        <v>341</v>
      </c>
      <c r="C105" s="10"/>
      <c r="F105" s="9" t="s">
        <v>61</v>
      </c>
      <c r="G105" s="11" t="s">
        <v>6</v>
      </c>
      <c r="I105" s="9" t="s">
        <v>64</v>
      </c>
      <c r="K105" s="9" t="s">
        <v>59</v>
      </c>
      <c r="L105" s="9" t="s">
        <v>51</v>
      </c>
      <c r="N105" s="9">
        <v>150.0</v>
      </c>
      <c r="P105" s="9">
        <v>2.0</v>
      </c>
      <c r="Q105" s="32">
        <f t="shared" si="24"/>
        <v>300</v>
      </c>
      <c r="U105" s="13">
        <f t="shared" si="2"/>
        <v>300</v>
      </c>
      <c r="V105" s="35">
        <f t="shared" si="27"/>
        <v>48</v>
      </c>
      <c r="W105" s="35">
        <f t="shared" si="28"/>
        <v>348</v>
      </c>
      <c r="AG105" s="9">
        <v>1.11</v>
      </c>
    </row>
    <row r="106" ht="15.75" customHeight="1">
      <c r="A106" s="9" t="s">
        <v>342</v>
      </c>
      <c r="C106" s="10"/>
      <c r="F106" s="9" t="s">
        <v>61</v>
      </c>
      <c r="G106" s="11" t="s">
        <v>6</v>
      </c>
      <c r="I106" s="9" t="s">
        <v>64</v>
      </c>
      <c r="K106" s="9" t="s">
        <v>59</v>
      </c>
      <c r="L106" s="9" t="s">
        <v>51</v>
      </c>
      <c r="N106" s="9">
        <v>150.0</v>
      </c>
      <c r="P106" s="9">
        <v>2.0</v>
      </c>
      <c r="Q106" s="32">
        <f t="shared" si="24"/>
        <v>300</v>
      </c>
      <c r="U106" s="13">
        <f t="shared" si="2"/>
        <v>300</v>
      </c>
      <c r="V106" s="35">
        <f t="shared" si="27"/>
        <v>48</v>
      </c>
      <c r="W106" s="35">
        <f t="shared" si="28"/>
        <v>348</v>
      </c>
      <c r="AG106" s="9">
        <v>1.11</v>
      </c>
    </row>
    <row r="107" ht="15.75" customHeight="1">
      <c r="A107" s="9" t="s">
        <v>343</v>
      </c>
      <c r="C107" s="10"/>
      <c r="F107" s="9" t="s">
        <v>88</v>
      </c>
      <c r="G107" s="11" t="s">
        <v>6</v>
      </c>
      <c r="I107" s="9" t="s">
        <v>86</v>
      </c>
      <c r="K107" s="9" t="s">
        <v>286</v>
      </c>
      <c r="L107" s="9" t="s">
        <v>135</v>
      </c>
      <c r="N107" s="9">
        <v>85.0</v>
      </c>
      <c r="P107" s="9">
        <v>2.0</v>
      </c>
      <c r="Q107" s="32">
        <f t="shared" si="24"/>
        <v>170</v>
      </c>
      <c r="U107" s="13">
        <f t="shared" si="2"/>
        <v>170</v>
      </c>
      <c r="V107" s="35">
        <f t="shared" si="27"/>
        <v>27.2</v>
      </c>
      <c r="W107" s="35">
        <f t="shared" si="28"/>
        <v>197.2</v>
      </c>
      <c r="AG107" s="9">
        <v>1.11</v>
      </c>
    </row>
    <row r="108" ht="15.75" customHeight="1">
      <c r="A108" s="9" t="s">
        <v>344</v>
      </c>
      <c r="C108" s="10"/>
      <c r="F108" s="9" t="s">
        <v>88</v>
      </c>
      <c r="G108" s="11" t="s">
        <v>6</v>
      </c>
      <c r="I108" s="9" t="s">
        <v>286</v>
      </c>
      <c r="K108" s="9" t="s">
        <v>288</v>
      </c>
      <c r="L108" s="9" t="s">
        <v>135</v>
      </c>
      <c r="N108" s="9">
        <v>85.0</v>
      </c>
      <c r="P108" s="9">
        <v>1.0</v>
      </c>
      <c r="Q108" s="32">
        <f t="shared" si="24"/>
        <v>85</v>
      </c>
      <c r="U108" s="13">
        <f t="shared" si="2"/>
        <v>85</v>
      </c>
      <c r="V108" s="35">
        <f t="shared" si="27"/>
        <v>13.6</v>
      </c>
      <c r="W108" s="35">
        <f t="shared" si="28"/>
        <v>98.6</v>
      </c>
      <c r="AG108" s="9">
        <v>1.11</v>
      </c>
    </row>
    <row r="109" ht="15.75" customHeight="1">
      <c r="C109" s="10"/>
      <c r="Q109" s="32">
        <f t="shared" si="24"/>
        <v>0</v>
      </c>
      <c r="U109" s="13">
        <f t="shared" si="2"/>
        <v>0</v>
      </c>
      <c r="V109" s="35">
        <f t="shared" si="27"/>
        <v>0</v>
      </c>
      <c r="W109" s="35">
        <f t="shared" si="28"/>
        <v>0</v>
      </c>
    </row>
    <row r="110" ht="15.75" customHeight="1">
      <c r="C110" s="10"/>
      <c r="Q110" s="32">
        <f t="shared" si="24"/>
        <v>0</v>
      </c>
      <c r="U110" s="13">
        <f t="shared" si="2"/>
        <v>0</v>
      </c>
      <c r="V110" s="35">
        <f t="shared" si="27"/>
        <v>0</v>
      </c>
      <c r="W110" s="35">
        <f t="shared" si="28"/>
        <v>0</v>
      </c>
    </row>
    <row r="111" ht="15.75" customHeight="1">
      <c r="C111" s="10"/>
    </row>
    <row r="112" ht="15.75" customHeight="1">
      <c r="C112" s="10"/>
    </row>
    <row r="113" ht="15.75" customHeight="1">
      <c r="C113" s="10"/>
    </row>
    <row r="114" ht="15.75" customHeight="1">
      <c r="C114" s="10"/>
    </row>
    <row r="115" ht="15.75" customHeight="1">
      <c r="C115" s="10"/>
    </row>
    <row r="116" ht="15.75" customHeight="1">
      <c r="C116" s="10"/>
    </row>
    <row r="117" ht="15.75" customHeight="1">
      <c r="C117" s="10"/>
    </row>
    <row r="118" ht="15.75" customHeight="1">
      <c r="C118" s="10"/>
    </row>
    <row r="119" ht="15.75" customHeight="1">
      <c r="C119" s="10"/>
    </row>
    <row r="120" ht="15.75" customHeight="1">
      <c r="C120" s="10"/>
    </row>
    <row r="121" ht="15.75" customHeight="1">
      <c r="C121" s="10"/>
    </row>
    <row r="122" ht="15.75" customHeight="1">
      <c r="C122" s="10"/>
    </row>
    <row r="123" ht="15.75" customHeight="1">
      <c r="C123" s="10"/>
    </row>
    <row r="124" ht="15.75" customHeight="1">
      <c r="C124" s="10"/>
    </row>
    <row r="125" ht="15.75" customHeight="1">
      <c r="C125" s="10"/>
    </row>
    <row r="126" ht="15.75" customHeight="1">
      <c r="C126" s="10"/>
    </row>
    <row r="127" ht="15.75" customHeight="1">
      <c r="C127" s="10"/>
    </row>
    <row r="128" ht="15.75" customHeight="1">
      <c r="C128" s="10"/>
    </row>
    <row r="129" ht="15.75" customHeight="1">
      <c r="C129" s="10"/>
    </row>
    <row r="130" ht="15.75" customHeight="1">
      <c r="C130" s="10"/>
    </row>
    <row r="131" ht="15.75" customHeight="1">
      <c r="C131" s="10"/>
    </row>
    <row r="132" ht="15.75" customHeight="1">
      <c r="C132" s="10"/>
    </row>
    <row r="133" ht="15.75" customHeight="1">
      <c r="C133" s="10"/>
    </row>
    <row r="134" ht="15.75" customHeight="1">
      <c r="C134" s="10"/>
    </row>
    <row r="135" ht="15.75" customHeight="1">
      <c r="C135" s="10"/>
    </row>
    <row r="136" ht="15.75" customHeight="1">
      <c r="C136" s="10"/>
    </row>
    <row r="137" ht="15.75" customHeight="1">
      <c r="C137" s="10"/>
    </row>
    <row r="138" ht="15.75" customHeight="1">
      <c r="C138" s="10"/>
    </row>
    <row r="139" ht="15.75" customHeight="1">
      <c r="C139" s="10"/>
    </row>
    <row r="140" ht="15.75" customHeight="1">
      <c r="C140" s="10"/>
    </row>
    <row r="141" ht="15.75" customHeight="1">
      <c r="C141" s="10"/>
    </row>
    <row r="142" ht="15.75" customHeight="1">
      <c r="C142" s="10"/>
    </row>
    <row r="143" ht="15.75" customHeight="1">
      <c r="C143" s="10"/>
    </row>
    <row r="144" ht="15.75" customHeight="1">
      <c r="C144" s="10"/>
    </row>
    <row r="145" ht="15.75" customHeight="1">
      <c r="C145" s="10"/>
    </row>
    <row r="146" ht="15.75" customHeight="1">
      <c r="C146" s="10"/>
    </row>
    <row r="147" ht="15.75" customHeight="1">
      <c r="C147" s="10"/>
    </row>
    <row r="148" ht="15.75" customHeight="1">
      <c r="C148" s="10"/>
    </row>
    <row r="149" ht="15.75" customHeight="1">
      <c r="C149" s="10"/>
    </row>
    <row r="150" ht="15.75" customHeight="1">
      <c r="C150" s="10"/>
    </row>
    <row r="151" ht="15.75" customHeight="1">
      <c r="C151" s="10"/>
    </row>
    <row r="152" ht="15.75" customHeight="1">
      <c r="C152" s="10"/>
    </row>
    <row r="153" ht="15.75" customHeight="1">
      <c r="C153" s="10"/>
    </row>
    <row r="154" ht="15.75" customHeight="1">
      <c r="C154" s="10"/>
    </row>
    <row r="155" ht="15.75" customHeight="1">
      <c r="C155" s="10"/>
    </row>
    <row r="156" ht="15.75" customHeight="1">
      <c r="C156" s="10"/>
    </row>
    <row r="157" ht="15.75" customHeight="1">
      <c r="C157" s="10"/>
    </row>
    <row r="158" ht="15.75" customHeight="1">
      <c r="C158" s="10"/>
    </row>
    <row r="159" ht="15.75" customHeight="1">
      <c r="C159" s="10"/>
    </row>
    <row r="160" ht="15.75" customHeight="1">
      <c r="C160" s="10"/>
    </row>
    <row r="161" ht="15.75" customHeight="1">
      <c r="C161" s="10"/>
    </row>
    <row r="162" ht="15.75" customHeight="1">
      <c r="C162" s="10"/>
    </row>
    <row r="163" ht="15.75" customHeight="1">
      <c r="C163" s="10"/>
    </row>
    <row r="164" ht="15.75" customHeight="1">
      <c r="C164" s="10"/>
    </row>
    <row r="165" ht="15.75" customHeight="1">
      <c r="C165" s="10"/>
    </row>
    <row r="166" ht="15.75" customHeight="1">
      <c r="C166" s="10"/>
    </row>
    <row r="167" ht="15.75" customHeight="1">
      <c r="C167" s="10"/>
    </row>
    <row r="168" ht="15.75" customHeight="1">
      <c r="C168" s="10"/>
    </row>
    <row r="169" ht="15.75" customHeight="1">
      <c r="C169" s="10"/>
    </row>
    <row r="170" ht="15.75" customHeight="1">
      <c r="C170" s="10"/>
    </row>
    <row r="171" ht="15.75" customHeight="1">
      <c r="C171" s="10"/>
    </row>
    <row r="172" ht="15.75" customHeight="1">
      <c r="C172" s="10"/>
    </row>
    <row r="173" ht="15.75" customHeight="1">
      <c r="C173" s="10"/>
    </row>
    <row r="174" ht="15.75" customHeight="1">
      <c r="C174" s="10"/>
    </row>
    <row r="175" ht="15.75" customHeight="1">
      <c r="C175" s="10"/>
    </row>
    <row r="176" ht="15.75" customHeight="1">
      <c r="C176" s="10"/>
    </row>
    <row r="177" ht="15.75" customHeight="1">
      <c r="C177" s="10"/>
    </row>
    <row r="178" ht="15.75" customHeight="1">
      <c r="C178" s="10"/>
    </row>
    <row r="179" ht="15.75" customHeight="1">
      <c r="C179" s="10"/>
    </row>
    <row r="180" ht="15.75" customHeight="1">
      <c r="C180" s="10"/>
    </row>
    <row r="181" ht="15.75" customHeight="1">
      <c r="C181" s="10"/>
    </row>
    <row r="182" ht="15.75" customHeight="1">
      <c r="C182" s="10"/>
    </row>
    <row r="183" ht="15.75" customHeight="1">
      <c r="C183" s="10"/>
    </row>
    <row r="184" ht="15.75" customHeight="1">
      <c r="C184" s="10"/>
    </row>
    <row r="185" ht="15.75" customHeight="1">
      <c r="C185" s="10"/>
    </row>
    <row r="186" ht="15.75" customHeight="1">
      <c r="C186" s="10"/>
    </row>
    <row r="187" ht="15.75" customHeight="1">
      <c r="C187" s="10"/>
    </row>
    <row r="188" ht="15.75" customHeight="1">
      <c r="C188" s="10"/>
    </row>
    <row r="189" ht="15.75" customHeight="1">
      <c r="C189" s="10"/>
    </row>
    <row r="190" ht="15.75" customHeight="1">
      <c r="C190" s="10"/>
    </row>
    <row r="191" ht="15.75" customHeight="1">
      <c r="C191" s="10"/>
    </row>
    <row r="192" ht="15.75" customHeight="1">
      <c r="C192" s="10"/>
    </row>
    <row r="193" ht="15.75" customHeight="1">
      <c r="C193" s="10"/>
    </row>
    <row r="194" ht="15.75" customHeight="1">
      <c r="C194" s="10"/>
    </row>
    <row r="195" ht="15.75" customHeight="1">
      <c r="C195" s="10"/>
    </row>
    <row r="196" ht="15.75" customHeight="1">
      <c r="C196" s="10"/>
    </row>
    <row r="197" ht="15.75" customHeight="1">
      <c r="C197" s="10"/>
    </row>
    <row r="198" ht="15.75" customHeight="1">
      <c r="C198" s="10"/>
    </row>
    <row r="199" ht="15.75" customHeight="1">
      <c r="C199" s="10"/>
    </row>
    <row r="200" ht="15.75" customHeight="1">
      <c r="C200" s="10"/>
    </row>
    <row r="201" ht="15.75" customHeight="1">
      <c r="C201" s="10"/>
    </row>
    <row r="202" ht="15.75" customHeight="1">
      <c r="C202" s="10"/>
    </row>
    <row r="203" ht="15.75" customHeight="1">
      <c r="C203" s="10"/>
    </row>
    <row r="204" ht="15.75" customHeight="1">
      <c r="C204" s="10"/>
    </row>
    <row r="205" ht="15.75" customHeight="1">
      <c r="C205" s="10"/>
    </row>
    <row r="206" ht="15.75" customHeight="1">
      <c r="C206" s="10"/>
    </row>
    <row r="207" ht="15.75" customHeight="1">
      <c r="C207" s="10"/>
    </row>
    <row r="208" ht="15.75" customHeight="1">
      <c r="C208" s="10"/>
    </row>
    <row r="209" ht="15.75" customHeight="1">
      <c r="C209" s="10"/>
    </row>
    <row r="210" ht="15.75" customHeight="1">
      <c r="C210" s="10"/>
    </row>
    <row r="211" ht="15.75" customHeight="1">
      <c r="C211" s="10"/>
    </row>
    <row r="212" ht="15.75" customHeight="1">
      <c r="C212" s="10"/>
    </row>
    <row r="213" ht="15.75" customHeight="1">
      <c r="C213" s="10"/>
    </row>
    <row r="214" ht="15.75" customHeight="1">
      <c r="C214" s="10"/>
    </row>
    <row r="215" ht="15.75" customHeight="1">
      <c r="C215" s="10"/>
    </row>
    <row r="216" ht="15.75" customHeight="1">
      <c r="C216" s="10"/>
    </row>
    <row r="217" ht="15.75" customHeight="1">
      <c r="C217" s="10"/>
    </row>
    <row r="218" ht="15.75" customHeight="1">
      <c r="C218" s="10"/>
    </row>
    <row r="219" ht="15.75" customHeight="1">
      <c r="C219" s="10"/>
    </row>
    <row r="220" ht="15.75" customHeight="1">
      <c r="C220" s="10"/>
    </row>
    <row r="221" ht="15.75" customHeight="1">
      <c r="C221" s="10"/>
    </row>
    <row r="222" ht="15.75" customHeight="1">
      <c r="C222" s="10"/>
    </row>
    <row r="223" ht="15.75" customHeight="1">
      <c r="C223" s="10"/>
    </row>
    <row r="224" ht="15.75" customHeight="1">
      <c r="C224" s="10"/>
    </row>
    <row r="225" ht="15.75" customHeight="1">
      <c r="C225" s="10"/>
    </row>
    <row r="226" ht="15.75" customHeight="1">
      <c r="C226" s="10"/>
    </row>
    <row r="227" ht="15.75" customHeight="1">
      <c r="C227" s="10"/>
    </row>
    <row r="228" ht="15.75" customHeight="1">
      <c r="C228" s="10"/>
    </row>
    <row r="229" ht="15.75" customHeight="1">
      <c r="C229" s="10"/>
    </row>
    <row r="230" ht="15.75" customHeight="1">
      <c r="C230" s="10"/>
    </row>
    <row r="231" ht="15.75" customHeight="1">
      <c r="C231" s="10"/>
    </row>
    <row r="232" ht="15.75" customHeight="1">
      <c r="C232" s="10"/>
    </row>
    <row r="233" ht="15.75" customHeight="1">
      <c r="C233" s="10"/>
    </row>
    <row r="234" ht="15.75" customHeight="1">
      <c r="C234" s="10"/>
    </row>
    <row r="235" ht="15.75" customHeight="1">
      <c r="C235" s="10"/>
    </row>
    <row r="236" ht="15.75" customHeight="1">
      <c r="C236" s="10"/>
    </row>
    <row r="237" ht="15.75" customHeight="1">
      <c r="C237" s="10"/>
    </row>
    <row r="238" ht="15.75" customHeight="1">
      <c r="C238" s="10"/>
    </row>
    <row r="239" ht="15.75" customHeight="1">
      <c r="C239" s="10"/>
    </row>
    <row r="240" ht="15.75" customHeight="1">
      <c r="C240" s="10"/>
    </row>
    <row r="241" ht="15.75" customHeight="1">
      <c r="C241" s="10"/>
    </row>
    <row r="242" ht="15.75" customHeight="1">
      <c r="C242" s="10"/>
    </row>
    <row r="243" ht="15.75" customHeight="1">
      <c r="C243" s="10"/>
    </row>
    <row r="244" ht="15.75" customHeight="1">
      <c r="C244" s="10"/>
    </row>
    <row r="245" ht="15.75" customHeight="1">
      <c r="C245" s="10"/>
    </row>
    <row r="246" ht="15.75" customHeight="1">
      <c r="C246" s="10"/>
    </row>
    <row r="247" ht="15.75" customHeight="1">
      <c r="C247" s="10"/>
    </row>
    <row r="248" ht="15.75" customHeight="1">
      <c r="C248" s="10"/>
    </row>
    <row r="249" ht="15.75" customHeight="1">
      <c r="C249" s="10"/>
    </row>
    <row r="250" ht="15.75" customHeight="1">
      <c r="C250" s="10"/>
    </row>
    <row r="251" ht="15.75" customHeight="1">
      <c r="C251" s="10"/>
    </row>
    <row r="252" ht="15.75" customHeight="1">
      <c r="C252" s="10"/>
    </row>
    <row r="253" ht="15.75" customHeight="1">
      <c r="C253" s="10"/>
    </row>
    <row r="254" ht="15.75" customHeight="1">
      <c r="C254" s="10"/>
    </row>
    <row r="255" ht="15.75" customHeight="1">
      <c r="C255" s="10"/>
    </row>
    <row r="256" ht="15.75" customHeight="1">
      <c r="C256" s="10"/>
    </row>
    <row r="257" ht="15.75" customHeight="1">
      <c r="C257" s="10"/>
    </row>
    <row r="258" ht="15.75" customHeight="1">
      <c r="C258" s="10"/>
    </row>
    <row r="259" ht="15.75" customHeight="1">
      <c r="C259" s="10"/>
    </row>
    <row r="260" ht="15.75" customHeight="1">
      <c r="C260" s="10"/>
    </row>
    <row r="261" ht="15.75" customHeight="1">
      <c r="C261" s="10"/>
    </row>
    <row r="262" ht="15.75" customHeight="1">
      <c r="C262" s="10"/>
    </row>
    <row r="263" ht="15.75" customHeight="1">
      <c r="C263" s="10"/>
    </row>
    <row r="264" ht="15.75" customHeight="1">
      <c r="C264" s="10"/>
    </row>
    <row r="265" ht="15.75" customHeight="1">
      <c r="C265" s="10"/>
    </row>
    <row r="266" ht="15.75" customHeight="1">
      <c r="C266" s="10"/>
    </row>
    <row r="267" ht="15.75" customHeight="1">
      <c r="C267" s="10"/>
    </row>
    <row r="268" ht="15.75" customHeight="1">
      <c r="C268" s="10"/>
    </row>
    <row r="269" ht="15.75" customHeight="1">
      <c r="C269" s="10"/>
    </row>
    <row r="270" ht="15.75" customHeight="1">
      <c r="C270" s="10"/>
    </row>
    <row r="271" ht="15.75" customHeight="1">
      <c r="C271" s="10"/>
    </row>
    <row r="272" ht="15.75" customHeight="1">
      <c r="C272" s="10"/>
    </row>
    <row r="273" ht="15.75" customHeight="1">
      <c r="C273" s="10"/>
    </row>
    <row r="274" ht="15.75" customHeight="1">
      <c r="C274" s="10"/>
    </row>
    <row r="275" ht="15.75" customHeight="1">
      <c r="C275" s="10"/>
    </row>
    <row r="276" ht="15.75" customHeight="1">
      <c r="C276" s="10"/>
    </row>
    <row r="277" ht="15.75" customHeight="1">
      <c r="C277" s="10"/>
    </row>
    <row r="278" ht="15.75" customHeight="1">
      <c r="C278" s="10"/>
    </row>
    <row r="279" ht="15.75" customHeight="1">
      <c r="C279" s="10"/>
    </row>
    <row r="280" ht="15.75" customHeight="1">
      <c r="C280" s="10"/>
    </row>
    <row r="281" ht="15.75" customHeight="1">
      <c r="C281" s="10"/>
    </row>
    <row r="282" ht="15.75" customHeight="1">
      <c r="C282" s="10"/>
    </row>
    <row r="283" ht="15.75" customHeight="1">
      <c r="C283" s="10"/>
    </row>
    <row r="284" ht="15.75" customHeight="1">
      <c r="C284" s="10"/>
    </row>
    <row r="285" ht="15.75" customHeight="1">
      <c r="C285" s="10"/>
    </row>
    <row r="286" ht="15.75" customHeight="1">
      <c r="C286" s="10"/>
    </row>
    <row r="287" ht="15.75" customHeight="1">
      <c r="C287" s="10"/>
    </row>
    <row r="288" ht="15.75" customHeight="1">
      <c r="C288" s="10"/>
    </row>
    <row r="289" ht="15.75" customHeight="1">
      <c r="C289" s="10"/>
    </row>
    <row r="290" ht="15.75" customHeight="1">
      <c r="C290" s="10"/>
    </row>
    <row r="291" ht="15.75" customHeight="1">
      <c r="C291" s="10"/>
    </row>
    <row r="292" ht="15.75" customHeight="1">
      <c r="C292" s="10"/>
    </row>
    <row r="293" ht="15.75" customHeight="1">
      <c r="C293" s="10"/>
    </row>
    <row r="294" ht="15.75" customHeight="1">
      <c r="C294" s="10"/>
    </row>
    <row r="295" ht="15.75" customHeight="1">
      <c r="C295" s="10"/>
    </row>
    <row r="296" ht="15.75" customHeight="1">
      <c r="C296" s="10"/>
    </row>
    <row r="297" ht="15.75" customHeight="1">
      <c r="C297" s="10"/>
    </row>
    <row r="298" ht="15.75" customHeight="1">
      <c r="C298" s="10"/>
    </row>
    <row r="299" ht="15.75" customHeight="1">
      <c r="C299" s="10"/>
    </row>
    <row r="300" ht="15.75" customHeight="1">
      <c r="C300" s="10"/>
    </row>
    <row r="301" ht="15.75" customHeight="1">
      <c r="C301" s="10"/>
    </row>
    <row r="302" ht="15.75" customHeight="1">
      <c r="C302" s="10"/>
    </row>
    <row r="303" ht="15.75" customHeight="1">
      <c r="C303" s="10"/>
    </row>
    <row r="304" ht="15.75" customHeight="1">
      <c r="C304" s="10"/>
    </row>
    <row r="305" ht="15.75" customHeight="1">
      <c r="C305" s="10"/>
    </row>
    <row r="306" ht="15.75" customHeight="1">
      <c r="C306" s="10"/>
    </row>
    <row r="307" ht="15.75" customHeight="1">
      <c r="C307" s="10"/>
    </row>
    <row r="308" ht="15.75" customHeight="1">
      <c r="C308" s="10"/>
    </row>
    <row r="309" ht="15.75" customHeight="1">
      <c r="C309" s="10"/>
    </row>
    <row r="310" ht="15.75" customHeight="1">
      <c r="C310" s="10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E75"/>
  </hyperlinks>
  <drawing r:id="rId2"/>
</worksheet>
</file>